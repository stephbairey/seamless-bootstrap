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My Drive\ALL PROJECTS\LINGUA INK\"/>
    </mc:Choice>
  </mc:AlternateContent>
  <xr:revisionPtr revIDLastSave="0" documentId="13_ncr:1_{1E5759FE-47D6-4CB2-8A01-AADCDF63036D}" xr6:coauthVersionLast="47" xr6:coauthVersionMax="47" xr10:uidLastSave="{00000000-0000-0000-0000-000000000000}"/>
  <bookViews>
    <workbookView xWindow="3510" yWindow="0" windowWidth="40590" windowHeight="15885" firstSheet="1" activeTab="1" xr2:uid="{C22A037D-5CD6-4A64-91F2-4FD5C2D204B2}"/>
  </bookViews>
  <sheets>
    <sheet name="DASHBOARD" sheetId="12" r:id="rId1"/>
    <sheet name="Royalty Report" sheetId="11" r:id="rId2"/>
    <sheet name="Maya" sheetId="8" r:id="rId3"/>
    <sheet name="Sulima" sheetId="13" r:id="rId4"/>
    <sheet name="Carolyn" sheetId="14" r:id="rId5"/>
    <sheet name="Transactions" sheetId="2" r:id="rId6"/>
    <sheet name="Transform" sheetId="5" r:id="rId7"/>
    <sheet name="Paste" sheetId="6" r:id="rId8"/>
    <sheet name="Lists" sheetId="7" r:id="rId9"/>
  </sheets>
  <definedNames>
    <definedName name="_xlnm._FilterDatabase" localSheetId="4" hidden="1">Carolyn!$A$10:$K$17</definedName>
    <definedName name="_xlnm._FilterDatabase" localSheetId="2" hidden="1">Maya!$A$10:$K$17</definedName>
    <definedName name="_xlnm._FilterDatabase" localSheetId="3" hidden="1">Sulima!$A$10:$K$17</definedName>
    <definedName name="_xlnm._FilterDatabase" localSheetId="5" hidden="1">Transactions!$A$1:$K$230</definedName>
    <definedName name="_xlnm.Print_Area" localSheetId="1">'Royalty Report'!$A$1:$M$28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4" l="1" a="1"/>
  <c r="A11" i="14" s="1"/>
  <c r="H20" i="5"/>
  <c r="I20" i="5"/>
  <c r="H21" i="5"/>
  <c r="I21" i="5"/>
  <c r="H22" i="5"/>
  <c r="I22" i="5"/>
  <c r="H19" i="5"/>
  <c r="K14" i="5"/>
  <c r="J14" i="5"/>
  <c r="I14" i="5"/>
  <c r="G14" i="5"/>
  <c r="F14" i="5"/>
  <c r="E14" i="5"/>
  <c r="C14" i="5"/>
  <c r="B14" i="5"/>
  <c r="A14" i="5"/>
  <c r="K13" i="5"/>
  <c r="J21" i="5" s="1"/>
  <c r="K21" i="5" s="1"/>
  <c r="J13" i="5"/>
  <c r="I13" i="5"/>
  <c r="G13" i="5"/>
  <c r="G21" i="5" s="1"/>
  <c r="F13" i="5"/>
  <c r="F21" i="5" s="1"/>
  <c r="E13" i="5"/>
  <c r="D13" i="5"/>
  <c r="D21" i="5" s="1"/>
  <c r="C13" i="5"/>
  <c r="C21" i="5" s="1"/>
  <c r="B13" i="5"/>
  <c r="B21" i="5" s="1"/>
  <c r="A13" i="5"/>
  <c r="A21" i="5" s="1"/>
  <c r="K12" i="5"/>
  <c r="J12" i="5"/>
  <c r="I12" i="5"/>
  <c r="G12" i="5"/>
  <c r="F12" i="5"/>
  <c r="E12" i="5"/>
  <c r="D12" i="5"/>
  <c r="C12" i="5"/>
  <c r="B12" i="5"/>
  <c r="A12" i="5"/>
  <c r="K11" i="5"/>
  <c r="J20" i="5" s="1"/>
  <c r="K20" i="5" s="1"/>
  <c r="J11" i="5"/>
  <c r="I11" i="5"/>
  <c r="G11" i="5"/>
  <c r="G20" i="5" s="1"/>
  <c r="F11" i="5"/>
  <c r="F20" i="5" s="1"/>
  <c r="E11" i="5"/>
  <c r="D11" i="5"/>
  <c r="D20" i="5" s="1"/>
  <c r="C11" i="5"/>
  <c r="C20" i="5" s="1"/>
  <c r="B11" i="5"/>
  <c r="B20" i="5" s="1"/>
  <c r="A11" i="5"/>
  <c r="A20" i="5" s="1"/>
  <c r="K10" i="5"/>
  <c r="J10" i="5"/>
  <c r="I10" i="5"/>
  <c r="G10" i="5"/>
  <c r="F10" i="5"/>
  <c r="E10" i="5"/>
  <c r="D10" i="5"/>
  <c r="C10" i="5"/>
  <c r="B10" i="5"/>
  <c r="A10" i="5"/>
  <c r="K9" i="5"/>
  <c r="J9" i="5"/>
  <c r="I9" i="5"/>
  <c r="G9" i="5"/>
  <c r="F9" i="5"/>
  <c r="E9" i="5"/>
  <c r="D9" i="5"/>
  <c r="C9" i="5"/>
  <c r="B9" i="5"/>
  <c r="A9" i="5"/>
  <c r="K8" i="5"/>
  <c r="J8" i="5"/>
  <c r="I8" i="5"/>
  <c r="H8" i="5"/>
  <c r="G8" i="5"/>
  <c r="F8" i="5"/>
  <c r="E8" i="5"/>
  <c r="D8" i="5"/>
  <c r="C8" i="5"/>
  <c r="B8" i="5"/>
  <c r="A8" i="5"/>
  <c r="K7" i="5"/>
  <c r="J7" i="5"/>
  <c r="I7" i="5"/>
  <c r="H7" i="5"/>
  <c r="G7" i="5"/>
  <c r="F7" i="5"/>
  <c r="E7" i="5"/>
  <c r="D7" i="5"/>
  <c r="C7" i="5"/>
  <c r="B7" i="5"/>
  <c r="A7" i="5"/>
  <c r="K6" i="5"/>
  <c r="J6" i="5"/>
  <c r="I6" i="5"/>
  <c r="H6" i="5"/>
  <c r="G6" i="5"/>
  <c r="F6" i="5"/>
  <c r="E6" i="5"/>
  <c r="C6" i="5"/>
  <c r="B6" i="5"/>
  <c r="A6" i="5"/>
  <c r="K5" i="5"/>
  <c r="J5" i="5"/>
  <c r="I5" i="5"/>
  <c r="H5" i="5"/>
  <c r="G5" i="5"/>
  <c r="F5" i="5"/>
  <c r="E5" i="5"/>
  <c r="C5" i="5"/>
  <c r="B5" i="5"/>
  <c r="A5" i="5"/>
  <c r="K4" i="5"/>
  <c r="J4" i="5"/>
  <c r="I4" i="5"/>
  <c r="H4" i="5"/>
  <c r="G4" i="5"/>
  <c r="F4" i="5"/>
  <c r="E4" i="5"/>
  <c r="C4" i="5"/>
  <c r="B4" i="5"/>
  <c r="A4" i="5"/>
  <c r="K3" i="5"/>
  <c r="J3" i="5"/>
  <c r="I3" i="5"/>
  <c r="H3" i="5"/>
  <c r="G3" i="5"/>
  <c r="F3" i="5"/>
  <c r="E3" i="5"/>
  <c r="C3" i="5"/>
  <c r="B3" i="5"/>
  <c r="A3" i="5"/>
  <c r="K2" i="5"/>
  <c r="J19" i="5" s="1"/>
  <c r="K19" i="5" s="1"/>
  <c r="J2" i="5"/>
  <c r="I2" i="5"/>
  <c r="G2" i="5"/>
  <c r="G19" i="5" s="1"/>
  <c r="F2" i="5"/>
  <c r="F19" i="5" s="1"/>
  <c r="E2" i="5"/>
  <c r="D2" i="5"/>
  <c r="D19" i="5" s="1"/>
  <c r="C2" i="5"/>
  <c r="C19" i="5" s="1"/>
  <c r="B2" i="5"/>
  <c r="B19" i="5" s="1"/>
  <c r="A2" i="5"/>
  <c r="A19" i="5" s="1"/>
  <c r="A15" i="5"/>
  <c r="A22" i="5" s="1"/>
  <c r="B15" i="5"/>
  <c r="B22" i="5" s="1"/>
  <c r="C15" i="5"/>
  <c r="C22" i="5" s="1"/>
  <c r="D15" i="5"/>
  <c r="D22" i="5" s="1"/>
  <c r="E15" i="5"/>
  <c r="F15" i="5"/>
  <c r="F22" i="5" s="1"/>
  <c r="G15" i="5"/>
  <c r="G22" i="5" s="1"/>
  <c r="I15" i="5"/>
  <c r="J15" i="5"/>
  <c r="K15" i="5"/>
  <c r="J22" i="5" s="1"/>
  <c r="K22" i="5" s="1"/>
  <c r="F12" i="11"/>
  <c r="E12" i="11"/>
  <c r="C12" i="11"/>
  <c r="B12" i="11"/>
  <c r="L12" i="11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L182" i="2"/>
  <c r="I19" i="5"/>
  <c r="L51" i="2"/>
  <c r="L181" i="2"/>
  <c r="L180" i="2"/>
  <c r="L179" i="2"/>
  <c r="L178" i="2"/>
  <c r="L177" i="2"/>
  <c r="L176" i="2"/>
  <c r="L175" i="2"/>
  <c r="L174" i="2"/>
  <c r="L173" i="2"/>
  <c r="L172" i="2"/>
  <c r="L171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34" i="2"/>
  <c r="L135" i="2"/>
  <c r="L136" i="2"/>
  <c r="L137" i="2"/>
  <c r="L138" i="2"/>
  <c r="L123" i="2"/>
  <c r="L124" i="2"/>
  <c r="L125" i="2"/>
  <c r="L126" i="2"/>
  <c r="L127" i="2"/>
  <c r="L128" i="2"/>
  <c r="L129" i="2"/>
  <c r="L130" i="2"/>
  <c r="L131" i="2"/>
  <c r="L132" i="2"/>
  <c r="L133" i="2"/>
  <c r="L117" i="2"/>
  <c r="L118" i="2"/>
  <c r="L119" i="2"/>
  <c r="L120" i="2"/>
  <c r="L121" i="2"/>
  <c r="L122" i="2"/>
  <c r="L116" i="2"/>
  <c r="L106" i="2"/>
  <c r="L107" i="2"/>
  <c r="L108" i="2"/>
  <c r="L109" i="2"/>
  <c r="L110" i="2"/>
  <c r="L111" i="2"/>
  <c r="L112" i="2"/>
  <c r="L113" i="2"/>
  <c r="L114" i="2"/>
  <c r="L115" i="2"/>
  <c r="L105" i="2"/>
  <c r="L98" i="2"/>
  <c r="L99" i="2"/>
  <c r="L100" i="2"/>
  <c r="L101" i="2"/>
  <c r="L102" i="2"/>
  <c r="L103" i="2"/>
  <c r="L104" i="2"/>
  <c r="L97" i="2"/>
  <c r="L91" i="2"/>
  <c r="L92" i="2"/>
  <c r="L93" i="2"/>
  <c r="L94" i="2"/>
  <c r="L95" i="2"/>
  <c r="L96" i="2"/>
  <c r="L83" i="2"/>
  <c r="L84" i="2"/>
  <c r="L85" i="2"/>
  <c r="L86" i="2"/>
  <c r="L87" i="2"/>
  <c r="L88" i="2"/>
  <c r="L89" i="2"/>
  <c r="L90" i="2"/>
  <c r="L78" i="2"/>
  <c r="L79" i="2"/>
  <c r="L80" i="2"/>
  <c r="L81" i="2"/>
  <c r="L82" i="2"/>
  <c r="L75" i="2"/>
  <c r="L76" i="2"/>
  <c r="L77" i="2"/>
  <c r="L72" i="2"/>
  <c r="L73" i="2"/>
  <c r="L74" i="2"/>
  <c r="L66" i="2"/>
  <c r="L67" i="2"/>
  <c r="L68" i="2"/>
  <c r="L69" i="2"/>
  <c r="L70" i="2"/>
  <c r="L41" i="2"/>
  <c r="L42" i="2"/>
  <c r="L43" i="2"/>
  <c r="L44" i="2"/>
  <c r="L45" i="2"/>
  <c r="L46" i="2"/>
  <c r="L47" i="2"/>
  <c r="L48" i="2"/>
  <c r="L49" i="2"/>
  <c r="L50" i="2"/>
  <c r="L203" i="2"/>
  <c r="G12" i="11"/>
  <c r="B16" i="11" l="1" a="1"/>
  <c r="B16" i="11" s="1"/>
  <c r="F22" i="12"/>
  <c r="B12" i="12"/>
  <c r="D12" i="12"/>
  <c r="B17" i="12"/>
  <c r="D17" i="12"/>
  <c r="D22" i="12"/>
  <c r="A11" i="8" a="1"/>
  <c r="B22" i="12"/>
  <c r="A11" i="13" a="1"/>
  <c r="A11" i="13" s="1"/>
  <c r="C3" i="14"/>
  <c r="C4" i="14"/>
  <c r="C5" i="14"/>
  <c r="C6" i="14"/>
  <c r="F12" i="12"/>
  <c r="F17" i="12"/>
  <c r="A11" i="8" l="1"/>
  <c r="B3" i="8"/>
  <c r="C6" i="8"/>
  <c r="C4" i="8"/>
  <c r="C3" i="8"/>
  <c r="C5" i="8"/>
  <c r="C6" i="13"/>
  <c r="C5" i="13"/>
  <c r="C3" i="13"/>
  <c r="C4" i="13"/>
  <c r="F7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<sst xmlns="http://schemas.openxmlformats.org/spreadsheetml/2006/main" count="1613" uniqueCount="156">
  <si>
    <t>Title</t>
  </si>
  <si>
    <t>Author</t>
  </si>
  <si>
    <t>Marketplace</t>
  </si>
  <si>
    <t>Units Sold</t>
  </si>
  <si>
    <t>Units Refunded</t>
  </si>
  <si>
    <t>Royalty Type</t>
  </si>
  <si>
    <t>Avg. List Price without tax</t>
  </si>
  <si>
    <t>Avg. Offer Price without tax</t>
  </si>
  <si>
    <t>Earnings</t>
  </si>
  <si>
    <t>Painting Celia</t>
  </si>
  <si>
    <t>Maya Bairey</t>
  </si>
  <si>
    <t>B0D13JKQD6</t>
  </si>
  <si>
    <t>Amazon.com</t>
  </si>
  <si>
    <t>Standard</t>
  </si>
  <si>
    <t>N/A</t>
  </si>
  <si>
    <t>Kindle Edition Normalized Pages (KENP)</t>
  </si>
  <si>
    <t>Amazon.ca</t>
  </si>
  <si>
    <t>Date</t>
  </si>
  <si>
    <t>Net Units Sold</t>
  </si>
  <si>
    <t>Type</t>
  </si>
  <si>
    <t>Payout</t>
  </si>
  <si>
    <t>ASIN</t>
  </si>
  <si>
    <t>Paperback</t>
  </si>
  <si>
    <t>ISBN</t>
  </si>
  <si>
    <t>Purchase type</t>
  </si>
  <si>
    <t>Purchase</t>
  </si>
  <si>
    <t>KENP</t>
  </si>
  <si>
    <t>Free - Promotion</t>
  </si>
  <si>
    <t>Amazon.co.uk</t>
  </si>
  <si>
    <t>Ebook</t>
  </si>
  <si>
    <t>Royalty</t>
  </si>
  <si>
    <t>B0CZRWBGHL</t>
  </si>
  <si>
    <t>B0D33MQ4F5</t>
  </si>
  <si>
    <t>Hard cover</t>
  </si>
  <si>
    <t>B0C3S6XSR1</t>
  </si>
  <si>
    <t>Arms Filled with Bittersweet</t>
  </si>
  <si>
    <t>Sulima Malzin</t>
  </si>
  <si>
    <t>B0C2S7MKKD</t>
  </si>
  <si>
    <t>Last Price</t>
  </si>
  <si>
    <t>B0C7JWZ625</t>
  </si>
  <si>
    <t>All In The Soup Together</t>
  </si>
  <si>
    <t>B0C7J5BMBV</t>
  </si>
  <si>
    <t>B0CPYMRVSV</t>
  </si>
  <si>
    <t>Words That Dance</t>
  </si>
  <si>
    <t>B0CYZTSXMN</t>
  </si>
  <si>
    <t>B0CZ94H5N4</t>
  </si>
  <si>
    <t>979-8-9900655-6-7</t>
  </si>
  <si>
    <t>979-8-9900655-5-0</t>
  </si>
  <si>
    <t>979-8-9906749-0-5</t>
  </si>
  <si>
    <t>979-8-9900655-2-9</t>
  </si>
  <si>
    <t>979-8-9900655-1-2</t>
  </si>
  <si>
    <t>979-8-9900655-4-3</t>
  </si>
  <si>
    <t>979-8-9900655-3-6</t>
  </si>
  <si>
    <t>979-8-9900655-0-5</t>
  </si>
  <si>
    <t>979-8-9900655-9-8</t>
  </si>
  <si>
    <t>Tributaries</t>
  </si>
  <si>
    <t>Amazon.de</t>
  </si>
  <si>
    <t>Free - Goodreads Giveaway</t>
  </si>
  <si>
    <t>Pre Order</t>
  </si>
  <si>
    <t>Amazon.com.au</t>
  </si>
  <si>
    <t>Amazon.es</t>
  </si>
  <si>
    <t>Amazon.fr</t>
  </si>
  <si>
    <t>Amazon.com.br</t>
  </si>
  <si>
    <t>Amazon.co.jp</t>
  </si>
  <si>
    <t>Author Name</t>
  </si>
  <si>
    <t>Free - Price Match</t>
  </si>
  <si>
    <t>Amazon.in</t>
  </si>
  <si>
    <t>Standard - Paperback</t>
  </si>
  <si>
    <t>Goodreads</t>
  </si>
  <si>
    <t>Pre-order</t>
  </si>
  <si>
    <t>Free promo</t>
  </si>
  <si>
    <t>Free price match</t>
  </si>
  <si>
    <t>eBook ASIN</t>
  </si>
  <si>
    <t>Audiobook ASIN</t>
  </si>
  <si>
    <t>Audible ASIN</t>
  </si>
  <si>
    <t>Vella</t>
  </si>
  <si>
    <t>KENP PAID</t>
  </si>
  <si>
    <t>Returns</t>
  </si>
  <si>
    <t>Format</t>
  </si>
  <si>
    <t>TOTAL SALES</t>
  </si>
  <si>
    <t>Print</t>
  </si>
  <si>
    <t>Authors</t>
  </si>
  <si>
    <t>Carolyn Martin</t>
  </si>
  <si>
    <t>TOTAL EARNINGS</t>
  </si>
  <si>
    <t>UNITS SOLD</t>
  </si>
  <si>
    <t>Royalty Report</t>
  </si>
  <si>
    <t>ITEMIZATION</t>
  </si>
  <si>
    <t>Month</t>
  </si>
  <si>
    <t>Transaction</t>
  </si>
  <si>
    <t>Units</t>
  </si>
  <si>
    <t>Net Royalty</t>
  </si>
  <si>
    <t>TOTAL DUE TO AUTHOR</t>
  </si>
  <si>
    <t>Author Royalty Rate</t>
  </si>
  <si>
    <t>PAPERBACKS</t>
  </si>
  <si>
    <t>EBOOKS</t>
  </si>
  <si>
    <t>Start</t>
  </si>
  <si>
    <t>End</t>
  </si>
  <si>
    <t>through</t>
  </si>
  <si>
    <t>Payment</t>
  </si>
  <si>
    <t>In person</t>
  </si>
  <si>
    <t>(multiple)</t>
  </si>
  <si>
    <t>Metrophobia</t>
  </si>
  <si>
    <t>979-8-9906749-1-2</t>
  </si>
  <si>
    <t>979-8-9906749-2-9</t>
  </si>
  <si>
    <t>Keep</t>
  </si>
  <si>
    <t>KEEP%</t>
  </si>
  <si>
    <t>DASHBOARD</t>
  </si>
  <si>
    <t>TOTAL PAID</t>
  </si>
  <si>
    <t>ROYALTIES OWED</t>
  </si>
  <si>
    <t>PROFIT</t>
  </si>
  <si>
    <t>TOTAL PROFIT</t>
  </si>
  <si>
    <t>All Books</t>
  </si>
  <si>
    <t>Currency</t>
  </si>
  <si>
    <t>Avg. File Size (MB)</t>
  </si>
  <si>
    <t>USD</t>
  </si>
  <si>
    <t>AUD</t>
  </si>
  <si>
    <t>Amazon.nl</t>
  </si>
  <si>
    <t>EUR</t>
  </si>
  <si>
    <t>Amazon.it</t>
  </si>
  <si>
    <t>CAD</t>
  </si>
  <si>
    <t>Amazon.com.mx</t>
  </si>
  <si>
    <t>10350 North Vancouver Way, Suite 5518
Portland, Oregon 97217
info@linguaink.com
+1 (503) 847-9860</t>
  </si>
  <si>
    <t>LAST BALANCE</t>
  </si>
  <si>
    <t>B0FF88MYC6</t>
  </si>
  <si>
    <t>B0FF3BCH52</t>
  </si>
  <si>
    <t>Printing cost (50)</t>
  </si>
  <si>
    <t>9798990065598</t>
  </si>
  <si>
    <t>60%</t>
  </si>
  <si>
    <t>9798871161425</t>
  </si>
  <si>
    <t>9798397667593</t>
  </si>
  <si>
    <t>9798990065550</t>
  </si>
  <si>
    <t>70%</t>
  </si>
  <si>
    <t>2025-05</t>
  </si>
  <si>
    <t>2025-06</t>
  </si>
  <si>
    <t>2025-07</t>
  </si>
  <si>
    <t>ASIN/ISBN</t>
  </si>
  <si>
    <t>Net Units Sold or Combined KENP</t>
  </si>
  <si>
    <t>Payout Plan</t>
  </si>
  <si>
    <t>Avg. Delivery/Manufacturing cost</t>
  </si>
  <si>
    <t>MONTH</t>
  </si>
  <si>
    <t>35%</t>
  </si>
  <si>
    <t>9798990674905</t>
  </si>
  <si>
    <t>Standard - Hardcover</t>
  </si>
  <si>
    <t>Business cards</t>
  </si>
  <si>
    <t>Printing cost (250)</t>
  </si>
  <si>
    <t>Vistaprint</t>
  </si>
  <si>
    <t>Cards</t>
  </si>
  <si>
    <t>Support</t>
  </si>
  <si>
    <t>Buymeacoffee</t>
  </si>
  <si>
    <t>Receipt</t>
  </si>
  <si>
    <t>NIWA</t>
  </si>
  <si>
    <t>NIWA Mt. Angel</t>
  </si>
  <si>
    <t>Tributaries (misprint)</t>
  </si>
  <si>
    <t>Refund</t>
  </si>
  <si>
    <t>Printing repayment</t>
  </si>
  <si>
    <t>fees?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</si>
</sst>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$&quot;#,##0.00"/>
    <numFmt numFmtId="165" formatCode="[$-409]mmm\ yyyy;@"/>
    <numFmt numFmtId="166" formatCode="_(* #,##0_);_(* \(#,##0\);_(* &quot;-&quot;??_);_(@_)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sz val="11"/>
      <color theme="0"/>
      <name val="Aptos Display"/>
      <family val="2"/>
      <scheme val="major"/>
    </font>
    <font>
      <sz val="11"/>
      <color rgb="FF217093"/>
      <name val="Aptos Black"/>
      <family val="2"/>
    </font>
    <font>
      <sz val="18"/>
      <color rgb="FF217093"/>
      <name val="Aptos Black"/>
      <family val="2"/>
    </font>
    <font>
      <b/>
      <sz val="14"/>
      <color theme="0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0"/>
      <color theme="1"/>
      <name val="Arial Unicode MS"/>
    </font>
    <font>
      <sz val="24"/>
      <color rgb="FF217093"/>
      <name val="Aptos Black"/>
      <family val="2"/>
    </font>
    <font>
      <sz val="11"/>
      <color theme="4" tint="-0.499984740745262"/>
      <name val="Aptos Narrow"/>
      <family val="2"/>
      <scheme val="minor"/>
    </font>
    <font>
      <b/>
      <sz val="16"/>
      <color theme="4" tint="-0.499984740745262"/>
      <name val="Aptos Display"/>
      <family val="2"/>
      <scheme val="major"/>
    </font>
    <font>
      <b/>
      <sz val="16"/>
      <color theme="4" tint="-0.499984740745262"/>
      <name val="Aptos Narrow"/>
      <family val="2"/>
      <scheme val="minor"/>
    </font>
    <font>
      <sz val="16"/>
      <color theme="1"/>
      <name val="Aptos Display"/>
      <family val="2"/>
      <scheme val="major"/>
    </font>
    <font>
      <sz val="14"/>
      <color theme="1"/>
      <name val="Aptos Narrow"/>
      <family val="2"/>
      <scheme val="minor"/>
    </font>
    <font>
      <b/>
      <sz val="14"/>
      <color theme="6"/>
      <name val="Aptos Display"/>
      <family val="2"/>
      <scheme val="major"/>
    </font>
    <font>
      <b/>
      <sz val="14"/>
      <color theme="4" tint="-0.499984740745262"/>
      <name val="Aptos Display"/>
      <family val="2"/>
      <scheme val="major"/>
    </font>
    <font>
      <sz val="14"/>
      <color theme="4" tint="-0.499984740745262"/>
      <name val="Aptos Narrow"/>
      <family val="2"/>
      <scheme val="minor"/>
    </font>
    <font>
      <b/>
      <sz val="16"/>
      <color theme="0"/>
      <name val="Aptos Display"/>
      <family val="2"/>
      <scheme val="major"/>
    </font>
    <font>
      <b/>
      <sz val="16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170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DFE4"/>
        <bgColor indexed="64"/>
      </patternFill>
    </fill>
    <fill>
      <patternFill patternType="solid">
        <fgColor theme="2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theme="3" tint="0.89996032593768116"/>
      </left>
      <right style="thin">
        <color theme="3" tint="0.89996032593768116"/>
      </right>
      <top style="thin">
        <color theme="3" tint="0.89996032593768116"/>
      </top>
      <bottom style="thin">
        <color theme="3" tint="0.89996032593768116"/>
      </bottom>
      <diagonal/>
    </border>
    <border>
      <left style="thin">
        <color rgb="FFAFC0C7"/>
      </left>
      <right style="thin">
        <color rgb="FFAFC0C7"/>
      </right>
      <top style="thin">
        <color rgb="FFAFC0C7"/>
      </top>
      <bottom style="thin">
        <color rgb="FFAFC0C7"/>
      </bottom>
      <diagonal/>
    </border>
    <border>
      <left style="thin">
        <color rgb="FFAFC0C7"/>
      </left>
      <right/>
      <top style="thin">
        <color rgb="FFAFC0C7"/>
      </top>
      <bottom style="thin">
        <color rgb="FFAFC0C7"/>
      </bottom>
      <diagonal/>
    </border>
    <border>
      <left/>
      <right/>
      <top style="thin">
        <color rgb="FFAFC0C7"/>
      </top>
      <bottom style="thin">
        <color rgb="FFAFC0C7"/>
      </bottom>
      <diagonal/>
    </border>
    <border>
      <left/>
      <right style="thin">
        <color rgb="FFAFC0C7"/>
      </right>
      <top style="thin">
        <color rgb="FFAFC0C7"/>
      </top>
      <bottom style="thin">
        <color rgb="FFAFC0C7"/>
      </bottom>
      <diagonal/>
    </border>
    <border>
      <left/>
      <right/>
      <top/>
      <bottom style="medium">
        <color indexed="64"/>
      </bottom>
      <diagonal/>
    </border>
    <border>
      <left style="thin">
        <color rgb="FF217093"/>
      </left>
      <right style="thin">
        <color rgb="FF217093"/>
      </right>
      <top style="thin">
        <color rgb="FF217093"/>
      </top>
      <bottom style="thin">
        <color rgb="FF217093"/>
      </bottom>
      <diagonal/>
    </border>
    <border>
      <left style="thin">
        <color rgb="FFAFC0C7"/>
      </left>
      <right style="thin">
        <color rgb="FFAFC0C7"/>
      </right>
      <top/>
      <bottom style="thin">
        <color rgb="FFAFC0C7"/>
      </bottom>
      <diagonal/>
    </border>
    <border>
      <left style="thin">
        <color rgb="FF217093"/>
      </left>
      <right/>
      <top style="thin">
        <color rgb="FF217093"/>
      </top>
      <bottom style="thin">
        <color rgb="FF217093"/>
      </bottom>
      <diagonal/>
    </border>
    <border>
      <left/>
      <right/>
      <top style="thin">
        <color rgb="FF217093"/>
      </top>
      <bottom style="thin">
        <color rgb="FF217093"/>
      </bottom>
      <diagonal/>
    </border>
    <border>
      <left/>
      <right style="thin">
        <color rgb="FF217093"/>
      </right>
      <top style="thin">
        <color rgb="FF217093"/>
      </top>
      <bottom style="thin">
        <color rgb="FF217093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n">
        <color indexed="2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">
    <xf numFmtId="0" fontId="0" fillId="0" borderId="0" xfId="0"/>
    <xf numFmtId="17" fontId="0" fillId="0" borderId="0" xfId="0" applyNumberFormat="1"/>
    <xf numFmtId="9" fontId="0" fillId="0" borderId="0" xfId="0" applyNumberFormat="1"/>
    <xf numFmtId="0" fontId="2" fillId="0" borderId="0" xfId="0" applyFont="1" applyAlignment="1">
      <alignment horizontal="center" vertical="center" wrapText="1"/>
    </xf>
    <xf numFmtId="9" fontId="0" fillId="0" borderId="0" xfId="1" applyFont="1"/>
    <xf numFmtId="164" fontId="0" fillId="0" borderId="0" xfId="0" applyNumberFormat="1"/>
    <xf numFmtId="165" fontId="4" fillId="0" borderId="0" xfId="0" applyNumberFormat="1" applyFont="1"/>
    <xf numFmtId="0" fontId="4" fillId="0" borderId="0" xfId="0" applyFont="1"/>
    <xf numFmtId="9" fontId="4" fillId="0" borderId="0" xfId="1" applyFont="1"/>
    <xf numFmtId="164" fontId="4" fillId="0" borderId="0" xfId="0" applyNumberFormat="1" applyFont="1"/>
    <xf numFmtId="14" fontId="4" fillId="0" borderId="0" xfId="0" applyNumberFormat="1" applyFont="1"/>
    <xf numFmtId="9" fontId="4" fillId="0" borderId="0" xfId="0" applyNumberFormat="1" applyFont="1"/>
    <xf numFmtId="165" fontId="5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/>
    </xf>
    <xf numFmtId="165" fontId="8" fillId="3" borderId="0" xfId="0" applyNumberFormat="1" applyFont="1" applyFill="1"/>
    <xf numFmtId="0" fontId="4" fillId="3" borderId="0" xfId="0" applyFont="1" applyFill="1"/>
    <xf numFmtId="165" fontId="4" fillId="3" borderId="0" xfId="0" applyNumberFormat="1" applyFont="1" applyFill="1"/>
    <xf numFmtId="0" fontId="9" fillId="2" borderId="0" xfId="0" applyFont="1" applyFill="1"/>
    <xf numFmtId="0" fontId="10" fillId="3" borderId="1" xfId="0" applyFont="1" applyFill="1" applyBorder="1" applyAlignment="1">
      <alignment horizontal="left" indent="1"/>
    </xf>
    <xf numFmtId="164" fontId="10" fillId="3" borderId="1" xfId="0" applyNumberFormat="1" applyFont="1" applyFill="1" applyBorder="1"/>
    <xf numFmtId="164" fontId="9" fillId="2" borderId="0" xfId="0" applyNumberFormat="1" applyFont="1" applyFill="1"/>
    <xf numFmtId="0" fontId="0" fillId="3" borderId="0" xfId="0" applyFill="1"/>
    <xf numFmtId="0" fontId="11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165" fontId="4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9" fontId="4" fillId="3" borderId="0" xfId="1" applyFont="1" applyFill="1" applyBorder="1" applyAlignment="1">
      <alignment horizontal="right"/>
    </xf>
    <xf numFmtId="164" fontId="4" fillId="3" borderId="0" xfId="0" applyNumberFormat="1" applyFont="1" applyFill="1" applyAlignment="1">
      <alignment horizontal="right"/>
    </xf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 applyAlignment="1">
      <alignment horizontal="right"/>
    </xf>
    <xf numFmtId="9" fontId="16" fillId="3" borderId="2" xfId="1" applyFont="1" applyFill="1" applyBorder="1" applyAlignment="1">
      <alignment horizontal="center"/>
    </xf>
    <xf numFmtId="164" fontId="10" fillId="3" borderId="2" xfId="0" applyNumberFormat="1" applyFont="1" applyFill="1" applyBorder="1" applyAlignment="1">
      <alignment horizontal="right"/>
    </xf>
    <xf numFmtId="1" fontId="10" fillId="3" borderId="2" xfId="0" applyNumberFormat="1" applyFont="1" applyFill="1" applyBorder="1" applyAlignment="1">
      <alignment horizontal="right"/>
    </xf>
    <xf numFmtId="0" fontId="17" fillId="3" borderId="3" xfId="0" applyFont="1" applyFill="1" applyBorder="1"/>
    <xf numFmtId="0" fontId="17" fillId="3" borderId="4" xfId="0" applyFont="1" applyFill="1" applyBorder="1"/>
    <xf numFmtId="164" fontId="18" fillId="3" borderId="5" xfId="0" applyNumberFormat="1" applyFont="1" applyFill="1" applyBorder="1"/>
    <xf numFmtId="0" fontId="3" fillId="3" borderId="0" xfId="0" applyFont="1" applyFill="1" applyAlignment="1">
      <alignment horizontal="right" wrapText="1"/>
    </xf>
    <xf numFmtId="0" fontId="0" fillId="3" borderId="6" xfId="0" applyFill="1" applyBorder="1"/>
    <xf numFmtId="0" fontId="5" fillId="2" borderId="0" xfId="0" applyFont="1" applyFill="1" applyAlignment="1">
      <alignment horizontal="center" vertical="center" wrapText="1"/>
    </xf>
    <xf numFmtId="165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19" fillId="3" borderId="0" xfId="0" applyNumberFormat="1" applyFont="1" applyFill="1"/>
    <xf numFmtId="0" fontId="20" fillId="3" borderId="0" xfId="0" applyFont="1" applyFill="1"/>
    <xf numFmtId="165" fontId="19" fillId="3" borderId="0" xfId="0" applyNumberFormat="1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165" fontId="4" fillId="3" borderId="8" xfId="0" applyNumberFormat="1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right"/>
    </xf>
    <xf numFmtId="9" fontId="4" fillId="3" borderId="8" xfId="1" applyFont="1" applyFill="1" applyBorder="1" applyAlignment="1">
      <alignment horizontal="right"/>
    </xf>
    <xf numFmtId="164" fontId="4" fillId="3" borderId="8" xfId="0" applyNumberFormat="1" applyFont="1" applyFill="1" applyBorder="1" applyAlignment="1">
      <alignment horizontal="right"/>
    </xf>
    <xf numFmtId="0" fontId="5" fillId="2" borderId="9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right"/>
    </xf>
    <xf numFmtId="0" fontId="5" fillId="2" borderId="11" xfId="0" applyFont="1" applyFill="1" applyBorder="1" applyAlignment="1">
      <alignment horizontal="right"/>
    </xf>
    <xf numFmtId="9" fontId="16" fillId="3" borderId="0" xfId="1" applyFont="1" applyFill="1" applyBorder="1" applyAlignment="1">
      <alignment horizontal="center"/>
    </xf>
    <xf numFmtId="0" fontId="21" fillId="2" borderId="7" xfId="0" applyFont="1" applyFill="1" applyBorder="1" applyAlignment="1">
      <alignment horizontal="center"/>
    </xf>
    <xf numFmtId="0" fontId="16" fillId="3" borderId="0" xfId="0" applyFont="1" applyFill="1" applyAlignment="1">
      <alignment horizontal="left"/>
    </xf>
    <xf numFmtId="164" fontId="16" fillId="3" borderId="8" xfId="0" applyNumberFormat="1" applyFont="1" applyFill="1" applyBorder="1" applyAlignment="1">
      <alignment horizontal="right"/>
    </xf>
    <xf numFmtId="164" fontId="0" fillId="3" borderId="0" xfId="0" applyNumberFormat="1" applyFill="1"/>
    <xf numFmtId="0" fontId="8" fillId="3" borderId="0" xfId="0" applyFont="1" applyFill="1" applyAlignment="1">
      <alignment horizontal="center"/>
    </xf>
    <xf numFmtId="164" fontId="22" fillId="3" borderId="0" xfId="0" applyNumberFormat="1" applyFont="1" applyFill="1" applyAlignment="1">
      <alignment horizontal="center"/>
    </xf>
    <xf numFmtId="165" fontId="4" fillId="4" borderId="0" xfId="0" applyNumberFormat="1" applyFont="1" applyFill="1"/>
    <xf numFmtId="0" fontId="4" fillId="4" borderId="0" xfId="0" applyFont="1" applyFill="1"/>
    <xf numFmtId="9" fontId="4" fillId="4" borderId="0" xfId="0" applyNumberFormat="1" applyFont="1" applyFill="1"/>
    <xf numFmtId="164" fontId="4" fillId="4" borderId="0" xfId="0" applyNumberFormat="1" applyFont="1" applyFill="1"/>
    <xf numFmtId="14" fontId="0" fillId="0" borderId="0" xfId="0" applyNumberFormat="1"/>
    <xf numFmtId="0" fontId="0" fillId="0" borderId="0" xfId="0" quotePrefix="1"/>
    <xf numFmtId="166" fontId="0" fillId="0" borderId="0" xfId="2" applyNumberFormat="1" applyFont="1"/>
    <xf numFmtId="0" fontId="5" fillId="5" borderId="12" xfId="0" applyFont="1" applyFill="1" applyBorder="1" applyAlignment="1">
      <alignment horizontal="center"/>
    </xf>
    <xf numFmtId="164" fontId="10" fillId="3" borderId="12" xfId="0" applyNumberFormat="1" applyFont="1" applyFill="1" applyBorder="1" applyAlignment="1">
      <alignment horizontal="right"/>
    </xf>
    <xf numFmtId="2" fontId="24" fillId="0" borderId="0" xfId="0" applyNumberFormat="1" applyFont="1"/>
    <xf numFmtId="1" fontId="24" fillId="0" borderId="0" xfId="0" applyNumberFormat="1" applyFont="1"/>
    <xf numFmtId="2" fontId="25" fillId="0" borderId="13" xfId="0" applyNumberFormat="1" applyFont="1" applyBorder="1"/>
    <xf numFmtId="0" fontId="3" fillId="3" borderId="0" xfId="0" applyFont="1" applyFill="1" applyAlignment="1">
      <alignment horizontal="right" wrapText="1"/>
    </xf>
  </cellXfs>
  <cellStyles count="3">
    <cellStyle name="Comma" xfId="2" builtinId="3"/>
    <cellStyle name="Normal" xfId="0" builtinId="0"/>
    <cellStyle name="Percent" xfId="1" builtinId="5"/>
  </cellStyles>
  <dxfs count="3">
    <dxf>
      <border>
        <left style="thin">
          <color rgb="FFAFC0C7"/>
        </left>
        <right style="thin">
          <color rgb="FFAFC0C7"/>
        </right>
        <top style="thin">
          <color rgb="FFAFC0C7"/>
        </top>
        <bottom style="thin">
          <color rgb="FFAFC0C7"/>
        </bottom>
        <vertical/>
        <horizontal/>
      </border>
    </dxf>
    <dxf>
      <font>
        <b val="0"/>
        <i/>
      </font>
    </dxf>
    <dxf>
      <fill>
        <patternFill>
          <bgColor rgb="FFE8F6E2"/>
        </patternFill>
      </fill>
    </dxf>
  </dxfs>
  <tableStyles count="0" defaultTableStyle="TableStyleMedium2" defaultPivotStyle="PivotStyleLight16"/>
  <colors>
    <mruColors>
      <color rgb="FFDCDFE4"/>
      <color rgb="FF217093"/>
      <color rgb="FFAFC0C7"/>
      <color rgb="FFE8F6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1371600</xdr:colOff>
      <xdr:row>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4844B-4B5D-4791-86C5-5FCDE3D0F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90500"/>
          <a:ext cx="1371600" cy="1371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0</xdr:rowOff>
    </xdr:from>
    <xdr:to>
      <xdr:col>2</xdr:col>
      <xdr:colOff>152400</xdr:colOff>
      <xdr:row>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B57B2F-F168-FF19-9CF9-BDBE34D9D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5" y="190500"/>
          <a:ext cx="1371600" cy="13716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5224-99D9-4147-8284-9DEA6594EE9E}">
  <dimension ref="B2:I75"/>
  <sheetViews>
    <sheetView workbookViewId="0"/>
  </sheetViews>
  <sheetFormatPr defaultRowHeight="15"/>
  <cols>
    <col min="1" max="1" width="9.140625" style="22"/>
    <col min="2" max="2" width="32.5703125" style="22" customWidth="1"/>
    <col min="3" max="3" width="9.42578125" style="22" customWidth="1"/>
    <col min="4" max="4" width="32.5703125" style="22" customWidth="1"/>
    <col min="5" max="5" width="9.42578125" style="22" customWidth="1"/>
    <col min="6" max="6" width="32.5703125" style="22" customWidth="1"/>
    <col min="7" max="16384" width="9.140625" style="22"/>
  </cols>
  <sheetData>
    <row r="2" spans="2:9" ht="97.5" customHeight="1">
      <c r="F2" s="43"/>
    </row>
    <row r="4" spans="2:9" ht="15.75" thickBot="1">
      <c r="B4" s="44"/>
      <c r="C4" s="44"/>
      <c r="D4" s="44"/>
      <c r="E4" s="44"/>
      <c r="F4" s="44"/>
    </row>
    <row r="6" spans="2:9" ht="31.5">
      <c r="B6" s="33" t="s">
        <v>106</v>
      </c>
      <c r="D6" s="34"/>
      <c r="F6" s="66" t="s">
        <v>110</v>
      </c>
    </row>
    <row r="7" spans="2:9" ht="21">
      <c r="F7" s="67">
        <f>SUM(F12+F17+F22)</f>
        <v>419.90765199999998</v>
      </c>
    </row>
    <row r="9" spans="2:9" ht="21">
      <c r="B9" s="35" t="s">
        <v>10</v>
      </c>
      <c r="E9" s="36"/>
      <c r="F9" s="61"/>
    </row>
    <row r="10" spans="2:9" ht="7.5" customHeight="1"/>
    <row r="11" spans="2:9" ht="21">
      <c r="B11" s="62" t="s">
        <v>107</v>
      </c>
      <c r="C11" s="63"/>
      <c r="D11" s="62" t="s">
        <v>108</v>
      </c>
      <c r="E11" s="63"/>
      <c r="F11" s="62" t="s">
        <v>109</v>
      </c>
    </row>
    <row r="12" spans="2:9" ht="21">
      <c r="B12" s="64">
        <f>SUMIFS(Transactions!K:K, Transactions!C:C, B9, Transactions!E:E, "Payment")*-1</f>
        <v>0</v>
      </c>
      <c r="C12" s="63"/>
      <c r="D12" s="64">
        <f>SUMIFS(Transactions!K:K, Transactions!C:C, B9, Transactions!E:E, "&lt;&gt;Payment")+SUMIFS(Transactions!K:K, Transactions!C:C, B9, Transactions!E:E, "Payment")</f>
        <v>507.20073400000018</v>
      </c>
      <c r="E12" s="63"/>
      <c r="F12" s="64">
        <f>SUMIFS(Transactions!K:K, Transactions!C:C, B9, Transactions!E:E, "&lt;&gt;Payment", Transactions!L:L, "&gt;0")*AVERAGEIFS(Transactions!L:L, Transactions!C:C, B9, Transactions!E:E, "&lt;&gt;Payment")</f>
        <v>392.31265200000001</v>
      </c>
      <c r="I12" s="65"/>
    </row>
    <row r="13" spans="2:9" ht="36.75" customHeight="1">
      <c r="B13" s="23"/>
    </row>
    <row r="14" spans="2:9" ht="21">
      <c r="B14" s="35" t="s">
        <v>36</v>
      </c>
      <c r="E14" s="36"/>
      <c r="F14" s="61"/>
    </row>
    <row r="15" spans="2:9" ht="7.5" customHeight="1"/>
    <row r="16" spans="2:9" ht="21">
      <c r="B16" s="62" t="s">
        <v>107</v>
      </c>
      <c r="C16" s="63"/>
      <c r="D16" s="62" t="s">
        <v>108</v>
      </c>
      <c r="E16" s="63"/>
      <c r="F16" s="62" t="s">
        <v>109</v>
      </c>
    </row>
    <row r="17" spans="2:6" ht="21">
      <c r="B17" s="64">
        <f>SUMIFS(Transactions!K:K, Transactions!C:C, B14, Transactions!E:E, "Payment")*-1</f>
        <v>274.47000000000003</v>
      </c>
      <c r="C17" s="63"/>
      <c r="D17" s="64">
        <f>SUMIFS(Transactions!K:K, Transactions!C:C, B14, Transactions!E:E, "&lt;&gt;Payment")+SUMIFS(Transactions!K:K, Transactions!C:C, B14, Transactions!E:E, "Payment")</f>
        <v>27.971539999999891</v>
      </c>
      <c r="E17" s="63"/>
      <c r="F17" s="64">
        <f>SUMIFS(Transactions!K:K, Transactions!C:C, B14, Transactions!E:E, "&lt;&gt;Payment", Transactions!L:L, "&gt;0")*AVERAGEIFS(Transactions!L:L, Transactions!C:C, B14, Transactions!E:E, "&lt;&gt;Payment")</f>
        <v>0</v>
      </c>
    </row>
    <row r="18" spans="2:6" ht="36.75" customHeight="1">
      <c r="B18" s="28"/>
      <c r="C18" s="29"/>
      <c r="D18" s="29"/>
      <c r="E18" s="29"/>
      <c r="F18" s="32"/>
    </row>
    <row r="19" spans="2:6" ht="21">
      <c r="B19" s="35" t="s">
        <v>82</v>
      </c>
      <c r="E19" s="36"/>
      <c r="F19" s="61"/>
    </row>
    <row r="20" spans="2:6" ht="7.5" customHeight="1"/>
    <row r="21" spans="2:6" ht="21">
      <c r="B21" s="62" t="s">
        <v>107</v>
      </c>
      <c r="C21" s="63"/>
      <c r="D21" s="62" t="s">
        <v>108</v>
      </c>
      <c r="E21" s="63"/>
      <c r="F21" s="62" t="s">
        <v>109</v>
      </c>
    </row>
    <row r="22" spans="2:6" ht="21">
      <c r="B22" s="64">
        <f>SUMIFS(Transactions!K:K, Transactions!C:C, B19, Transactions!E:E, "Payment")*-1</f>
        <v>0</v>
      </c>
      <c r="C22" s="63"/>
      <c r="D22" s="64">
        <f>SUMIFS(Transactions!K:K, Transactions!C:C, B19, Transactions!E:E, "&lt;&gt;Payment")+SUMIFS(Transactions!K:K, Transactions!C:C, B19, Transactions!E:E, "Payment")</f>
        <v>55.19</v>
      </c>
      <c r="E22" s="63"/>
      <c r="F22" s="64">
        <f>SUMIFS(Transactions!K:K, Transactions!C:C, B19, Transactions!E:E, "&lt;&gt;Payment", Transactions!L:L, "&gt;0")*AVERAGEIFS(Transactions!L:L, Transactions!C:C, B19, Transactions!E:E, "&lt;&gt;Payment")</f>
        <v>27.594999999999999</v>
      </c>
    </row>
    <row r="23" spans="2:6">
      <c r="B23" s="28"/>
      <c r="C23" s="29"/>
      <c r="D23" s="29"/>
      <c r="E23" s="29"/>
      <c r="F23" s="32"/>
    </row>
    <row r="24" spans="2:6">
      <c r="B24" s="28"/>
      <c r="C24" s="29"/>
      <c r="D24" s="29"/>
      <c r="E24" s="29"/>
      <c r="F24" s="32"/>
    </row>
    <row r="25" spans="2:6">
      <c r="B25" s="28"/>
      <c r="C25" s="29"/>
      <c r="D25" s="29"/>
      <c r="E25" s="29"/>
      <c r="F25" s="32"/>
    </row>
    <row r="26" spans="2:6">
      <c r="B26" s="28"/>
      <c r="C26" s="29"/>
      <c r="D26" s="29"/>
      <c r="E26" s="29"/>
      <c r="F26" s="32"/>
    </row>
    <row r="27" spans="2:6">
      <c r="B27" s="28"/>
      <c r="C27" s="29"/>
      <c r="D27" s="29"/>
      <c r="E27" s="29"/>
      <c r="F27" s="32"/>
    </row>
    <row r="28" spans="2:6">
      <c r="B28" s="28"/>
      <c r="C28" s="29"/>
      <c r="D28" s="29"/>
      <c r="E28" s="29"/>
      <c r="F28" s="32"/>
    </row>
    <row r="29" spans="2:6">
      <c r="B29" s="28"/>
      <c r="C29" s="29"/>
      <c r="D29" s="29"/>
      <c r="E29" s="29"/>
      <c r="F29" s="32"/>
    </row>
    <row r="30" spans="2:6">
      <c r="B30" s="28"/>
      <c r="C30" s="29"/>
      <c r="D30" s="29"/>
      <c r="E30" s="29"/>
      <c r="F30" s="32"/>
    </row>
    <row r="31" spans="2:6">
      <c r="B31" s="28"/>
      <c r="C31" s="29"/>
      <c r="D31" s="29"/>
      <c r="E31" s="29"/>
      <c r="F31" s="32"/>
    </row>
    <row r="32" spans="2:6">
      <c r="B32" s="28"/>
      <c r="C32" s="29"/>
      <c r="D32" s="29"/>
      <c r="E32" s="29"/>
      <c r="F32" s="32"/>
    </row>
    <row r="33" spans="2:6">
      <c r="B33" s="28"/>
      <c r="C33" s="29"/>
      <c r="D33" s="29"/>
      <c r="E33" s="29"/>
      <c r="F33" s="32"/>
    </row>
    <row r="34" spans="2:6">
      <c r="B34" s="28"/>
      <c r="C34" s="29"/>
      <c r="D34" s="29"/>
      <c r="E34" s="29"/>
      <c r="F34" s="32"/>
    </row>
    <row r="35" spans="2:6">
      <c r="B35" s="28"/>
      <c r="C35" s="29"/>
      <c r="D35" s="29"/>
      <c r="E35" s="29"/>
      <c r="F35" s="32"/>
    </row>
    <row r="36" spans="2:6">
      <c r="B36" s="28"/>
      <c r="C36" s="29"/>
      <c r="D36" s="29"/>
      <c r="E36" s="29"/>
      <c r="F36" s="32"/>
    </row>
    <row r="37" spans="2:6">
      <c r="B37" s="28"/>
      <c r="C37" s="29"/>
      <c r="D37" s="29"/>
      <c r="E37" s="29"/>
      <c r="F37" s="32"/>
    </row>
    <row r="38" spans="2:6">
      <c r="B38" s="28"/>
      <c r="C38" s="29"/>
      <c r="D38" s="29"/>
      <c r="E38" s="29"/>
      <c r="F38" s="32"/>
    </row>
    <row r="39" spans="2:6">
      <c r="B39" s="28"/>
      <c r="C39" s="29"/>
      <c r="D39" s="29"/>
      <c r="E39" s="29"/>
      <c r="F39" s="32"/>
    </row>
    <row r="40" spans="2:6">
      <c r="B40" s="28"/>
      <c r="C40" s="29"/>
      <c r="D40" s="29"/>
      <c r="E40" s="29"/>
      <c r="F40" s="32"/>
    </row>
    <row r="41" spans="2:6">
      <c r="B41" s="28"/>
      <c r="C41" s="29"/>
      <c r="D41" s="29"/>
      <c r="E41" s="29"/>
      <c r="F41" s="32"/>
    </row>
    <row r="42" spans="2:6">
      <c r="B42" s="28"/>
      <c r="C42" s="29"/>
      <c r="D42" s="29"/>
      <c r="E42" s="29"/>
      <c r="F42" s="32"/>
    </row>
    <row r="43" spans="2:6">
      <c r="B43" s="28"/>
      <c r="C43" s="29"/>
      <c r="D43" s="29"/>
      <c r="E43" s="29"/>
      <c r="F43" s="32"/>
    </row>
    <row r="44" spans="2:6">
      <c r="B44" s="28"/>
      <c r="C44" s="29"/>
      <c r="D44" s="29"/>
      <c r="E44" s="29"/>
      <c r="F44" s="32"/>
    </row>
    <row r="45" spans="2:6">
      <c r="B45" s="28"/>
      <c r="C45" s="29"/>
      <c r="D45" s="29"/>
      <c r="E45" s="29"/>
      <c r="F45" s="32"/>
    </row>
    <row r="46" spans="2:6">
      <c r="B46" s="28"/>
      <c r="C46" s="29"/>
      <c r="D46" s="29"/>
      <c r="E46" s="29"/>
      <c r="F46" s="32"/>
    </row>
    <row r="47" spans="2:6">
      <c r="B47" s="28"/>
      <c r="C47" s="29"/>
      <c r="D47" s="29"/>
      <c r="E47" s="29"/>
      <c r="F47" s="32"/>
    </row>
    <row r="48" spans="2:6">
      <c r="B48" s="28"/>
      <c r="C48" s="29"/>
      <c r="D48" s="29"/>
      <c r="E48" s="29"/>
      <c r="F48" s="32"/>
    </row>
    <row r="49" spans="2:6">
      <c r="B49" s="28"/>
      <c r="C49" s="29"/>
      <c r="D49" s="29"/>
      <c r="E49" s="29"/>
      <c r="F49" s="32"/>
    </row>
    <row r="50" spans="2:6">
      <c r="B50" s="28"/>
      <c r="C50" s="29"/>
      <c r="D50" s="29"/>
      <c r="E50" s="29"/>
      <c r="F50" s="32"/>
    </row>
    <row r="51" spans="2:6">
      <c r="B51" s="28"/>
      <c r="C51" s="29"/>
      <c r="D51" s="29"/>
      <c r="E51" s="29"/>
      <c r="F51" s="32"/>
    </row>
    <row r="52" spans="2:6">
      <c r="B52" s="28"/>
      <c r="C52" s="29"/>
      <c r="D52" s="29"/>
      <c r="E52" s="29"/>
      <c r="F52" s="32"/>
    </row>
    <row r="53" spans="2:6">
      <c r="B53" s="28"/>
      <c r="C53" s="29"/>
      <c r="D53" s="29"/>
      <c r="E53" s="29"/>
      <c r="F53" s="32"/>
    </row>
    <row r="54" spans="2:6">
      <c r="B54" s="28"/>
      <c r="C54" s="29"/>
      <c r="D54" s="29"/>
      <c r="E54" s="29"/>
      <c r="F54" s="32"/>
    </row>
    <row r="55" spans="2:6">
      <c r="B55" s="28"/>
      <c r="C55" s="29"/>
      <c r="D55" s="29"/>
      <c r="E55" s="29"/>
      <c r="F55" s="32"/>
    </row>
    <row r="56" spans="2:6">
      <c r="B56" s="28"/>
      <c r="C56" s="29"/>
      <c r="D56" s="29"/>
      <c r="E56" s="29"/>
      <c r="F56" s="32"/>
    </row>
    <row r="57" spans="2:6">
      <c r="B57" s="28"/>
      <c r="C57" s="29"/>
      <c r="D57" s="29"/>
      <c r="E57" s="29"/>
      <c r="F57" s="32"/>
    </row>
    <row r="58" spans="2:6">
      <c r="B58" s="28"/>
      <c r="C58" s="29"/>
      <c r="D58" s="29"/>
      <c r="E58" s="29"/>
      <c r="F58" s="32"/>
    </row>
    <row r="59" spans="2:6">
      <c r="B59" s="28"/>
      <c r="C59" s="29"/>
      <c r="D59" s="29"/>
      <c r="E59" s="29"/>
      <c r="F59" s="32"/>
    </row>
    <row r="60" spans="2:6">
      <c r="B60" s="28"/>
      <c r="C60" s="29"/>
      <c r="D60" s="29"/>
      <c r="E60" s="29"/>
      <c r="F60" s="32"/>
    </row>
    <row r="61" spans="2:6">
      <c r="B61" s="28"/>
      <c r="C61" s="29"/>
      <c r="D61" s="29"/>
      <c r="E61" s="29"/>
      <c r="F61" s="32"/>
    </row>
    <row r="62" spans="2:6">
      <c r="B62" s="28"/>
      <c r="C62" s="29"/>
      <c r="D62" s="29"/>
      <c r="E62" s="29"/>
      <c r="F62" s="32"/>
    </row>
    <row r="63" spans="2:6">
      <c r="B63" s="28"/>
      <c r="C63" s="29"/>
      <c r="D63" s="29"/>
      <c r="E63" s="29"/>
      <c r="F63" s="32"/>
    </row>
    <row r="64" spans="2:6">
      <c r="B64" s="28"/>
      <c r="C64" s="29"/>
      <c r="D64" s="29"/>
      <c r="E64" s="29"/>
      <c r="F64" s="32"/>
    </row>
    <row r="65" spans="2:6">
      <c r="B65" s="28"/>
      <c r="C65" s="29"/>
      <c r="D65" s="29"/>
      <c r="E65" s="29"/>
      <c r="F65" s="32"/>
    </row>
    <row r="66" spans="2:6">
      <c r="B66" s="28"/>
      <c r="C66" s="29"/>
      <c r="D66" s="29"/>
      <c r="E66" s="29"/>
      <c r="F66" s="32"/>
    </row>
    <row r="67" spans="2:6">
      <c r="B67" s="28"/>
      <c r="C67" s="29"/>
      <c r="D67" s="29"/>
      <c r="E67" s="29"/>
      <c r="F67" s="32"/>
    </row>
    <row r="68" spans="2:6">
      <c r="B68" s="28"/>
      <c r="C68" s="29"/>
      <c r="D68" s="29"/>
      <c r="E68" s="29"/>
      <c r="F68" s="32"/>
    </row>
    <row r="69" spans="2:6">
      <c r="B69" s="28"/>
      <c r="C69" s="29"/>
      <c r="D69" s="29"/>
      <c r="E69" s="29"/>
      <c r="F69" s="32"/>
    </row>
    <row r="70" spans="2:6">
      <c r="B70" s="28"/>
      <c r="C70" s="29"/>
      <c r="D70" s="29"/>
      <c r="E70" s="29"/>
      <c r="F70" s="32"/>
    </row>
    <row r="71" spans="2:6">
      <c r="B71" s="28"/>
      <c r="C71" s="29"/>
      <c r="D71" s="29"/>
      <c r="E71" s="29"/>
      <c r="F71" s="32"/>
    </row>
    <row r="72" spans="2:6">
      <c r="B72" s="28"/>
      <c r="C72" s="29"/>
      <c r="D72" s="29"/>
      <c r="E72" s="29"/>
      <c r="F72" s="32"/>
    </row>
    <row r="73" spans="2:6">
      <c r="B73" s="28"/>
      <c r="C73" s="29"/>
      <c r="D73" s="29"/>
      <c r="E73" s="29"/>
      <c r="F73" s="32"/>
    </row>
    <row r="74" spans="2:6">
      <c r="B74" s="28"/>
      <c r="C74" s="29"/>
      <c r="D74" s="29"/>
      <c r="E74" s="29"/>
      <c r="F74" s="32"/>
    </row>
    <row r="75" spans="2:6">
      <c r="B75" s="28"/>
      <c r="C75" s="29"/>
      <c r="D75" s="29"/>
      <c r="E75" s="29"/>
      <c r="F75" s="32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D56E-5642-4059-B1B3-EDDAFC71416D}">
  <sheetPr>
    <pageSetUpPr autoPageBreaks="0"/>
  </sheetPr>
  <dimension ref="B2:O92"/>
  <sheetViews>
    <sheetView tabSelected="1" zoomScaleNormal="100" workbookViewId="0">
      <selection activeCell="E8" sqref="E8"/>
    </sheetView>
  </sheetViews>
  <sheetFormatPr defaultRowHeight="15"/>
  <cols>
    <col min="1" max="1" width="4.85546875" style="22" customWidth="1"/>
    <col min="2" max="2" width="20.7109375" style="22" customWidth="1"/>
    <col min="3" max="3" width="26" style="22" customWidth="1"/>
    <col min="4" max="4" width="16.7109375" style="22" hidden="1" customWidth="1"/>
    <col min="5" max="5" width="18.7109375" style="22" customWidth="1"/>
    <col min="6" max="6" width="17.28515625" style="22" customWidth="1"/>
    <col min="7" max="7" width="16" style="22" customWidth="1"/>
    <col min="8" max="8" width="9.140625" style="22"/>
    <col min="9" max="11" width="0" style="22" hidden="1" customWidth="1"/>
    <col min="12" max="12" width="15.140625" style="22" customWidth="1"/>
    <col min="13" max="13" width="4.7109375" style="22" customWidth="1"/>
    <col min="14" max="14" width="9.140625" style="22"/>
    <col min="15" max="15" width="22.85546875" style="22" customWidth="1"/>
    <col min="16" max="16384" width="9.140625" style="22"/>
  </cols>
  <sheetData>
    <row r="2" spans="2:15" ht="97.5" customHeight="1">
      <c r="G2" s="80" t="s">
        <v>121</v>
      </c>
      <c r="H2" s="80"/>
      <c r="I2" s="80"/>
      <c r="J2" s="80"/>
      <c r="K2" s="80"/>
      <c r="L2" s="80"/>
    </row>
    <row r="4" spans="2:15" ht="15.75" thickBot="1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6" spans="2:15" ht="31.5">
      <c r="B6" s="33" t="s">
        <v>85</v>
      </c>
      <c r="E6" s="34"/>
      <c r="G6" s="50">
        <v>45658</v>
      </c>
      <c r="H6" s="51" t="s">
        <v>97</v>
      </c>
      <c r="I6" s="49"/>
      <c r="J6" s="49"/>
      <c r="K6" s="49"/>
      <c r="L6" s="48">
        <v>46022</v>
      </c>
    </row>
    <row r="9" spans="2:15" ht="21">
      <c r="B9" s="35" t="s">
        <v>10</v>
      </c>
      <c r="H9" s="36" t="s">
        <v>92</v>
      </c>
      <c r="L9" s="37">
        <v>1</v>
      </c>
    </row>
    <row r="11" spans="2:15">
      <c r="B11" s="26" t="s">
        <v>83</v>
      </c>
      <c r="C11" s="26" t="s">
        <v>93</v>
      </c>
      <c r="D11" s="26"/>
      <c r="E11" s="26" t="s">
        <v>94</v>
      </c>
      <c r="F11" s="26" t="s">
        <v>26</v>
      </c>
      <c r="G11" s="26" t="s">
        <v>84</v>
      </c>
      <c r="H11" s="25"/>
      <c r="I11" s="25"/>
      <c r="J11" s="25"/>
      <c r="K11" s="25"/>
      <c r="L11" s="27" t="s">
        <v>91</v>
      </c>
      <c r="O11" s="75" t="s">
        <v>122</v>
      </c>
    </row>
    <row r="12" spans="2:15" ht="18.75">
      <c r="B12" s="38">
        <f>SUMIFS(Transactions!K:K, Transactions!C:C, B9, Transactions!A:A, "&gt;="&amp;G6, Transactions!A:A, "&lt;="&amp;L6, Transactions!H:H, "&lt;&gt;Payment", Transactions!K:K, "&gt;=0")</f>
        <v>156.32968200000002</v>
      </c>
      <c r="C12" s="38">
        <f>SUMIFS( Transactions!K:K, Transactions!C:C, B9, Transactions!D:D, "Paperback", Transactions!A:A, "&gt;="&amp;G6, Transactions!A:A, "&lt;="&amp;L6, Transactions!H:H, "&lt;&gt;Payment", Transactions!K:K, "&gt;=0")</f>
        <v>144.05000000000001</v>
      </c>
      <c r="D12" s="38"/>
      <c r="E12" s="38">
        <f>SUMIFS( Transactions!K:K, Transactions!C:C, B9, Transactions!D:D, "Ebook", Transactions!A:A, "&gt;="&amp;G6, Transactions!A:A, "&lt;="&amp;L6, Transactions!H:H, "&lt;&gt;Payment", Transactions!K:K, "&gt;=0")</f>
        <v>12.279681999999999</v>
      </c>
      <c r="F12" s="38">
        <f>SUMIFS(Transactions!K:K, Transactions!C:C, B9, Transactions!D:D, "Ebook", Transactions!E:E, "KENP", Transactions!A:A, "&gt;="&amp;G6, Transactions!A:A, "&lt;="&amp;L6, Transactions!H:H, "&lt;&gt;Payment", Transactions!K:K, "&gt;=0")</f>
        <v>8.749682</v>
      </c>
      <c r="G12" s="39">
        <f>SUMIFS(Transactions!G:G, Transactions!C:C, B9, Transactions!A:A, "&gt;="&amp;G6, Transactions!A:A, "&lt;="&amp;L6)</f>
        <v>5632</v>
      </c>
      <c r="H12" s="40"/>
      <c r="I12" s="41"/>
      <c r="J12" s="41"/>
      <c r="K12" s="41"/>
      <c r="L12" s="42">
        <f>SUMIFS(Transactions!K:K, Transactions!C:C, B9, Transactions!A:A, "&gt;="&amp;G6, Transactions!A:A, "&lt;="&amp;L6) * L9 + O12</f>
        <v>156.32968200000002</v>
      </c>
      <c r="O12" s="76">
        <v>0</v>
      </c>
    </row>
    <row r="13" spans="2:15">
      <c r="B13" s="23"/>
    </row>
    <row r="14" spans="2:15">
      <c r="B14" s="24" t="s">
        <v>86</v>
      </c>
    </row>
    <row r="15" spans="2:15">
      <c r="B15" s="57" t="s">
        <v>87</v>
      </c>
      <c r="C15" s="58" t="s">
        <v>0</v>
      </c>
      <c r="D15" s="58"/>
      <c r="E15" s="58" t="s">
        <v>78</v>
      </c>
      <c r="F15" s="58" t="s">
        <v>88</v>
      </c>
      <c r="G15" s="58" t="s">
        <v>2</v>
      </c>
      <c r="H15" s="59" t="s">
        <v>89</v>
      </c>
      <c r="I15" s="58"/>
      <c r="J15" s="58"/>
      <c r="K15" s="58"/>
      <c r="L15" s="60" t="s">
        <v>90</v>
      </c>
    </row>
    <row r="16" spans="2:15">
      <c r="B16" s="52" cm="1">
        <f t="array" ref="B16:L87">IF(OR(G6="", L6=""), "",
  _xlfn._xlws.FILTER(
    Transactions!A2:K978,
    (Transactions!C2:C978=B9) *
    (Transactions!A2:A978&gt;=G6) *
    (Transactions!A2:A978&lt;=L6),
    "No records"
  )
)</f>
        <v>45658</v>
      </c>
      <c r="C16" s="53" t="str">
        <v>Painting Celia</v>
      </c>
      <c r="D16" s="53" t="str">
        <v>Maya Bairey</v>
      </c>
      <c r="E16" s="53" t="str">
        <v>Ebook</v>
      </c>
      <c r="F16" s="53" t="str">
        <v>KENP</v>
      </c>
      <c r="G16" s="53" t="str">
        <v>Amazon.com</v>
      </c>
      <c r="H16" s="54">
        <v>1</v>
      </c>
      <c r="I16" s="54">
        <v>0</v>
      </c>
      <c r="J16" s="54">
        <v>0</v>
      </c>
      <c r="K16" s="55">
        <v>0</v>
      </c>
      <c r="L16" s="56">
        <v>4.3940000000000003E-3</v>
      </c>
    </row>
    <row r="17" spans="2:12">
      <c r="B17" s="28">
        <v>45689</v>
      </c>
      <c r="C17" s="29" t="str">
        <v>Painting Celia</v>
      </c>
      <c r="D17" s="29" t="str">
        <v>Maya Bairey</v>
      </c>
      <c r="E17" s="29" t="str">
        <v>Paperback</v>
      </c>
      <c r="F17" s="29" t="str">
        <v>Purchase</v>
      </c>
      <c r="G17" s="29" t="str">
        <v>Amazon.com</v>
      </c>
      <c r="H17" s="30">
        <v>1</v>
      </c>
      <c r="I17" s="30">
        <v>0</v>
      </c>
      <c r="J17" s="30">
        <v>1</v>
      </c>
      <c r="K17" s="31">
        <v>0.6</v>
      </c>
      <c r="L17" s="32">
        <v>1.55</v>
      </c>
    </row>
    <row r="18" spans="2:12">
      <c r="B18" s="28">
        <v>45689</v>
      </c>
      <c r="C18" s="29" t="str">
        <v>Painting Celia</v>
      </c>
      <c r="D18" s="29" t="str">
        <v>Maya Bairey</v>
      </c>
      <c r="E18" s="29" t="str">
        <v>Paperback</v>
      </c>
      <c r="F18" s="29" t="str">
        <v>Purchase</v>
      </c>
      <c r="G18" s="29" t="str">
        <v>Amazon.com</v>
      </c>
      <c r="H18" s="30">
        <v>1</v>
      </c>
      <c r="I18" s="30">
        <v>0</v>
      </c>
      <c r="J18" s="30">
        <v>1</v>
      </c>
      <c r="K18" s="31">
        <v>0.6</v>
      </c>
      <c r="L18" s="32">
        <v>1.55</v>
      </c>
    </row>
    <row r="19" spans="2:12">
      <c r="B19" s="28">
        <v>45689</v>
      </c>
      <c r="C19" s="29" t="str">
        <v>Painting Celia</v>
      </c>
      <c r="D19" s="29" t="str">
        <v>Maya Bairey</v>
      </c>
      <c r="E19" s="29" t="str">
        <v>Ebook</v>
      </c>
      <c r="F19" s="29" t="str">
        <v>KENP</v>
      </c>
      <c r="G19" s="29" t="str">
        <v>Amazon.com</v>
      </c>
      <c r="H19" s="30">
        <v>2</v>
      </c>
      <c r="I19" s="30">
        <v>0</v>
      </c>
      <c r="J19" s="30">
        <v>0</v>
      </c>
      <c r="K19" s="31">
        <v>0</v>
      </c>
      <c r="L19" s="32">
        <v>8.7880000000000007E-3</v>
      </c>
    </row>
    <row r="20" spans="2:12">
      <c r="B20" s="28">
        <v>45717</v>
      </c>
      <c r="C20" s="29" t="str">
        <v>Painting Celia</v>
      </c>
      <c r="D20" s="29" t="str">
        <v>Maya Bairey</v>
      </c>
      <c r="E20" s="29" t="str">
        <v>Ebook</v>
      </c>
      <c r="F20" s="29" t="str">
        <v>Free promo</v>
      </c>
      <c r="G20" s="29" t="str">
        <v>Amazon.co.uk</v>
      </c>
      <c r="H20" s="30">
        <v>1</v>
      </c>
      <c r="I20" s="30">
        <v>0</v>
      </c>
      <c r="J20" s="30">
        <v>1</v>
      </c>
      <c r="K20" s="31">
        <v>0.7</v>
      </c>
      <c r="L20" s="32">
        <v>0</v>
      </c>
    </row>
    <row r="21" spans="2:12">
      <c r="B21" s="28">
        <v>45717</v>
      </c>
      <c r="C21" s="29" t="str">
        <v>Painting Celia</v>
      </c>
      <c r="D21" s="29" t="str">
        <v>Maya Bairey</v>
      </c>
      <c r="E21" s="29" t="str">
        <v>Paperback</v>
      </c>
      <c r="F21" s="29" t="str">
        <v>Purchase</v>
      </c>
      <c r="G21" s="29" t="str">
        <v>Amazon.com</v>
      </c>
      <c r="H21" s="30">
        <v>1</v>
      </c>
      <c r="I21" s="30">
        <v>0</v>
      </c>
      <c r="J21" s="30">
        <v>1</v>
      </c>
      <c r="K21" s="31">
        <v>0.6</v>
      </c>
      <c r="L21" s="32">
        <v>1.1100000000000001</v>
      </c>
    </row>
    <row r="22" spans="2:12">
      <c r="B22" s="28">
        <v>45717</v>
      </c>
      <c r="C22" s="29" t="str">
        <v>Painting Celia</v>
      </c>
      <c r="D22" s="29" t="str">
        <v>Maya Bairey</v>
      </c>
      <c r="E22" s="29" t="str">
        <v>Paperback</v>
      </c>
      <c r="F22" s="29" t="str">
        <v>Purchase</v>
      </c>
      <c r="G22" s="29" t="str">
        <v>Amazon.com</v>
      </c>
      <c r="H22" s="30">
        <v>1</v>
      </c>
      <c r="I22" s="30">
        <v>0</v>
      </c>
      <c r="J22" s="30">
        <v>1</v>
      </c>
      <c r="K22" s="31">
        <v>0.6</v>
      </c>
      <c r="L22" s="32">
        <v>1.1100000000000001</v>
      </c>
    </row>
    <row r="23" spans="2:12">
      <c r="B23" s="28">
        <v>45717</v>
      </c>
      <c r="C23" s="29" t="str">
        <v>Painting Celia</v>
      </c>
      <c r="D23" s="29" t="str">
        <v>Maya Bairey</v>
      </c>
      <c r="E23" s="29" t="str">
        <v>Paperback</v>
      </c>
      <c r="F23" s="29" t="str">
        <v>Purchase</v>
      </c>
      <c r="G23" s="29" t="str">
        <v>In person</v>
      </c>
      <c r="H23" s="30">
        <v>1</v>
      </c>
      <c r="I23" s="30">
        <v>0</v>
      </c>
      <c r="J23" s="30">
        <v>1</v>
      </c>
      <c r="K23" s="31">
        <v>1</v>
      </c>
      <c r="L23" s="32">
        <v>15</v>
      </c>
    </row>
    <row r="24" spans="2:12" hidden="1">
      <c r="B24" s="28">
        <v>45717</v>
      </c>
      <c r="C24" s="29" t="str">
        <v>Painting Celia</v>
      </c>
      <c r="D24" s="29" t="str">
        <v>Maya Bairey</v>
      </c>
      <c r="E24" s="29" t="str">
        <v>Paperback</v>
      </c>
      <c r="F24" s="29" t="str">
        <v>Purchase</v>
      </c>
      <c r="G24" s="29" t="str">
        <v>In person</v>
      </c>
      <c r="H24" s="30">
        <v>1</v>
      </c>
      <c r="I24" s="30">
        <v>0</v>
      </c>
      <c r="J24" s="30">
        <v>1</v>
      </c>
      <c r="K24" s="31">
        <v>1</v>
      </c>
      <c r="L24" s="32">
        <v>15</v>
      </c>
    </row>
    <row r="25" spans="2:12" hidden="1">
      <c r="B25" s="28">
        <v>45717</v>
      </c>
      <c r="C25" s="29" t="str">
        <v>Painting Celia</v>
      </c>
      <c r="D25" s="29" t="str">
        <v>Maya Bairey</v>
      </c>
      <c r="E25" s="29" t="str">
        <v>Paperback</v>
      </c>
      <c r="F25" s="29" t="str">
        <v>Purchase</v>
      </c>
      <c r="G25" s="29" t="str">
        <v>In person</v>
      </c>
      <c r="H25" s="30">
        <v>1</v>
      </c>
      <c r="I25" s="30">
        <v>0</v>
      </c>
      <c r="J25" s="30">
        <v>1</v>
      </c>
      <c r="K25" s="31">
        <v>1</v>
      </c>
      <c r="L25" s="32">
        <v>15</v>
      </c>
    </row>
    <row r="26" spans="2:12" hidden="1">
      <c r="B26" s="28">
        <v>45717</v>
      </c>
      <c r="C26" s="29" t="str">
        <v>Painting Celia</v>
      </c>
      <c r="D26" s="29" t="str">
        <v>Maya Bairey</v>
      </c>
      <c r="E26" s="29" t="str">
        <v>Ebook</v>
      </c>
      <c r="F26" s="29" t="str">
        <v>Free promo</v>
      </c>
      <c r="G26" s="29" t="str">
        <v>Amazon.com</v>
      </c>
      <c r="H26" s="30">
        <v>2</v>
      </c>
      <c r="I26" s="30">
        <v>0</v>
      </c>
      <c r="J26" s="30">
        <v>2</v>
      </c>
      <c r="K26" s="31">
        <v>0.35</v>
      </c>
      <c r="L26" s="32">
        <v>0</v>
      </c>
    </row>
    <row r="27" spans="2:12" hidden="1">
      <c r="B27" s="28">
        <v>45717</v>
      </c>
      <c r="C27" s="29" t="str">
        <v>Painting Celia</v>
      </c>
      <c r="D27" s="29" t="str">
        <v>Maya Bairey</v>
      </c>
      <c r="E27" s="29" t="str">
        <v>Ebook</v>
      </c>
      <c r="F27" s="29" t="str">
        <v>Purchase</v>
      </c>
      <c r="G27" s="29" t="str">
        <v>Amazon.com</v>
      </c>
      <c r="H27" s="30">
        <v>2</v>
      </c>
      <c r="I27" s="30">
        <v>0</v>
      </c>
      <c r="J27" s="30">
        <v>2</v>
      </c>
      <c r="K27" s="31">
        <v>0.35</v>
      </c>
      <c r="L27" s="32">
        <v>0.7</v>
      </c>
    </row>
    <row r="28" spans="2:12">
      <c r="B28" s="28">
        <v>45717</v>
      </c>
      <c r="C28" s="29" t="str">
        <v>Painting Celia</v>
      </c>
      <c r="D28" s="29" t="str">
        <v>Maya Bairey</v>
      </c>
      <c r="E28" s="29" t="str">
        <v>Ebook</v>
      </c>
      <c r="F28" s="29" t="str">
        <v>Free promo</v>
      </c>
      <c r="G28" s="29" t="str">
        <v>Amazon.com</v>
      </c>
      <c r="H28" s="30">
        <v>9</v>
      </c>
      <c r="I28" s="30">
        <v>0</v>
      </c>
      <c r="J28" s="30">
        <v>9</v>
      </c>
      <c r="K28" s="31">
        <v>0.7</v>
      </c>
      <c r="L28" s="32">
        <v>0</v>
      </c>
    </row>
    <row r="29" spans="2:12">
      <c r="B29" s="28">
        <v>45717</v>
      </c>
      <c r="C29" s="29" t="str">
        <v>Painting Celia</v>
      </c>
      <c r="D29" s="29" t="str">
        <v>Maya Bairey</v>
      </c>
      <c r="E29" s="29" t="str">
        <v>Ebook</v>
      </c>
      <c r="F29" s="29" t="str">
        <v>Free promo</v>
      </c>
      <c r="G29" s="29" t="str">
        <v>Amazon.ca</v>
      </c>
      <c r="H29" s="30">
        <v>471</v>
      </c>
      <c r="I29" s="30">
        <v>0</v>
      </c>
      <c r="J29" s="30">
        <v>0</v>
      </c>
      <c r="K29" s="31">
        <v>0</v>
      </c>
      <c r="L29" s="32">
        <v>0</v>
      </c>
    </row>
    <row r="30" spans="2:12">
      <c r="B30" s="28">
        <v>45717</v>
      </c>
      <c r="C30" s="29" t="str">
        <v>Painting Celia</v>
      </c>
      <c r="D30" s="29" t="str">
        <v>Maya Bairey</v>
      </c>
      <c r="E30" s="29" t="str">
        <v>Ebook</v>
      </c>
      <c r="F30" s="29" t="str">
        <v>Free promo</v>
      </c>
      <c r="G30" s="29" t="str">
        <v>Amazon.com</v>
      </c>
      <c r="H30" s="30">
        <v>514</v>
      </c>
      <c r="I30" s="30">
        <v>0</v>
      </c>
      <c r="J30" s="30">
        <v>0</v>
      </c>
      <c r="K30" s="31">
        <v>0</v>
      </c>
      <c r="L30" s="32">
        <v>0</v>
      </c>
    </row>
    <row r="31" spans="2:12">
      <c r="B31" s="28">
        <v>45731</v>
      </c>
      <c r="C31" s="29" t="str">
        <v>Painting Celia</v>
      </c>
      <c r="D31" s="29" t="str">
        <v>Maya Bairey</v>
      </c>
      <c r="E31" s="29" t="str">
        <v>Paperback</v>
      </c>
      <c r="F31" s="29" t="str">
        <v>Purchase</v>
      </c>
      <c r="G31" s="29" t="str">
        <v>In person</v>
      </c>
      <c r="H31" s="30">
        <v>1</v>
      </c>
      <c r="I31" s="30">
        <v>0</v>
      </c>
      <c r="J31" s="30">
        <v>1</v>
      </c>
      <c r="K31" s="31">
        <v>1</v>
      </c>
      <c r="L31" s="32">
        <v>15</v>
      </c>
    </row>
    <row r="32" spans="2:12">
      <c r="B32" s="28">
        <v>45731</v>
      </c>
      <c r="C32" s="29" t="str">
        <v>Painting Celia</v>
      </c>
      <c r="D32" s="29" t="str">
        <v>Maya Bairey</v>
      </c>
      <c r="E32" s="29" t="str">
        <v>Paperback</v>
      </c>
      <c r="F32" s="29" t="str">
        <v>Purchase</v>
      </c>
      <c r="G32" s="29" t="str">
        <v>In person</v>
      </c>
      <c r="H32" s="30">
        <v>1</v>
      </c>
      <c r="I32" s="30">
        <v>0</v>
      </c>
      <c r="J32" s="30">
        <v>1</v>
      </c>
      <c r="K32" s="31">
        <v>1</v>
      </c>
      <c r="L32" s="32">
        <v>15</v>
      </c>
    </row>
    <row r="33" spans="2:12">
      <c r="B33" s="28">
        <v>45731</v>
      </c>
      <c r="C33" s="29" t="str">
        <v>Painting Celia</v>
      </c>
      <c r="D33" s="29" t="str">
        <v>Maya Bairey</v>
      </c>
      <c r="E33" s="29" t="str">
        <v>Paperback</v>
      </c>
      <c r="F33" s="29" t="str">
        <v>Purchase</v>
      </c>
      <c r="G33" s="29" t="str">
        <v>In person</v>
      </c>
      <c r="H33" s="30">
        <v>1</v>
      </c>
      <c r="I33" s="30">
        <v>0</v>
      </c>
      <c r="J33" s="30">
        <v>1</v>
      </c>
      <c r="K33" s="31">
        <v>1</v>
      </c>
      <c r="L33" s="32">
        <v>15</v>
      </c>
    </row>
    <row r="34" spans="2:12">
      <c r="B34" s="28">
        <v>45731</v>
      </c>
      <c r="C34" s="29" t="str">
        <v>Painting Celia</v>
      </c>
      <c r="D34" s="29" t="str">
        <v>Maya Bairey</v>
      </c>
      <c r="E34" s="29" t="str">
        <v>Paperback</v>
      </c>
      <c r="F34" s="29" t="str">
        <v>Purchase</v>
      </c>
      <c r="G34" s="29" t="str">
        <v>In person</v>
      </c>
      <c r="H34" s="30">
        <v>1</v>
      </c>
      <c r="I34" s="30">
        <v>0</v>
      </c>
      <c r="J34" s="30">
        <v>1</v>
      </c>
      <c r="K34" s="31">
        <v>1</v>
      </c>
      <c r="L34" s="32">
        <v>15</v>
      </c>
    </row>
    <row r="35" spans="2:12">
      <c r="B35" s="28">
        <v>45731</v>
      </c>
      <c r="C35" s="29" t="str">
        <v>Painting Celia</v>
      </c>
      <c r="D35" s="29" t="str">
        <v>Maya Bairey</v>
      </c>
      <c r="E35" s="29" t="str">
        <v>Paperback</v>
      </c>
      <c r="F35" s="29" t="str">
        <v>Purchase</v>
      </c>
      <c r="G35" s="29" t="str">
        <v>In person</v>
      </c>
      <c r="H35" s="30">
        <v>1</v>
      </c>
      <c r="I35" s="30">
        <v>0</v>
      </c>
      <c r="J35" s="30">
        <v>1</v>
      </c>
      <c r="K35" s="31">
        <v>1</v>
      </c>
      <c r="L35" s="32">
        <v>15</v>
      </c>
    </row>
    <row r="36" spans="2:12">
      <c r="B36" s="28">
        <v>45748</v>
      </c>
      <c r="C36" s="29" t="str">
        <v>Painting Celia</v>
      </c>
      <c r="D36" s="29" t="str">
        <v>Maya Bairey</v>
      </c>
      <c r="E36" s="29" t="str">
        <v>Ebook</v>
      </c>
      <c r="F36" s="29" t="str">
        <v>Free promo</v>
      </c>
      <c r="G36" s="29" t="str">
        <v>Amazon.com</v>
      </c>
      <c r="H36" s="30">
        <v>1</v>
      </c>
      <c r="I36" s="30">
        <v>0</v>
      </c>
      <c r="J36" s="30">
        <v>0</v>
      </c>
      <c r="K36" s="31">
        <v>0.7</v>
      </c>
      <c r="L36" s="32">
        <v>0</v>
      </c>
    </row>
    <row r="37" spans="2:12">
      <c r="B37" s="28">
        <v>45748</v>
      </c>
      <c r="C37" s="29" t="str">
        <v>Painting Celia</v>
      </c>
      <c r="D37" s="29" t="str">
        <v>Maya Bairey</v>
      </c>
      <c r="E37" s="29" t="str">
        <v>Ebook</v>
      </c>
      <c r="F37" s="29" t="str">
        <v>Free promo</v>
      </c>
      <c r="G37" s="29" t="str">
        <v>Amazon.com</v>
      </c>
      <c r="H37" s="30">
        <v>1</v>
      </c>
      <c r="I37" s="30">
        <v>0</v>
      </c>
      <c r="J37" s="30">
        <v>0</v>
      </c>
      <c r="K37" s="31">
        <v>0.7</v>
      </c>
      <c r="L37" s="32">
        <v>0</v>
      </c>
    </row>
    <row r="38" spans="2:12">
      <c r="B38" s="28">
        <v>45748</v>
      </c>
      <c r="C38" s="29" t="str">
        <v>Painting Celia</v>
      </c>
      <c r="D38" s="29" t="str">
        <v>Maya Bairey</v>
      </c>
      <c r="E38" s="29" t="str">
        <v>Ebook</v>
      </c>
      <c r="F38" s="29" t="str">
        <v>Free promo</v>
      </c>
      <c r="G38" s="29" t="str">
        <v>Amazon.com</v>
      </c>
      <c r="H38" s="30">
        <v>1</v>
      </c>
      <c r="I38" s="30">
        <v>0</v>
      </c>
      <c r="J38" s="30">
        <v>0</v>
      </c>
      <c r="K38" s="31">
        <v>0.7</v>
      </c>
      <c r="L38" s="32">
        <v>0</v>
      </c>
    </row>
    <row r="39" spans="2:12">
      <c r="B39" s="28">
        <v>45748</v>
      </c>
      <c r="C39" s="29" t="str">
        <v>Painting Celia</v>
      </c>
      <c r="D39" s="29" t="str">
        <v>Maya Bairey</v>
      </c>
      <c r="E39" s="29" t="str">
        <v>Ebook</v>
      </c>
      <c r="F39" s="29" t="str">
        <v>Free promo</v>
      </c>
      <c r="G39" s="29" t="str">
        <v>Amazon.com</v>
      </c>
      <c r="H39" s="30">
        <v>1</v>
      </c>
      <c r="I39" s="30">
        <v>0</v>
      </c>
      <c r="J39" s="30">
        <v>0</v>
      </c>
      <c r="K39" s="31">
        <v>0.7</v>
      </c>
      <c r="L39" s="32">
        <v>0</v>
      </c>
    </row>
    <row r="40" spans="2:12">
      <c r="B40" s="28">
        <v>45748</v>
      </c>
      <c r="C40" s="29" t="str">
        <v>Painting Celia</v>
      </c>
      <c r="D40" s="29" t="str">
        <v>Maya Bairey</v>
      </c>
      <c r="E40" s="29" t="str">
        <v>Ebook</v>
      </c>
      <c r="F40" s="29" t="str">
        <v>Free promo</v>
      </c>
      <c r="G40" s="29" t="str">
        <v>Amazon.com</v>
      </c>
      <c r="H40" s="30">
        <v>1</v>
      </c>
      <c r="I40" s="30">
        <v>0</v>
      </c>
      <c r="J40" s="30">
        <v>0</v>
      </c>
      <c r="K40" s="31">
        <v>0.7</v>
      </c>
      <c r="L40" s="32">
        <v>0</v>
      </c>
    </row>
    <row r="41" spans="2:12">
      <c r="B41" s="28">
        <v>45748</v>
      </c>
      <c r="C41" s="29" t="str">
        <v>Painting Celia</v>
      </c>
      <c r="D41" s="29" t="str">
        <v>Maya Bairey</v>
      </c>
      <c r="E41" s="29" t="str">
        <v>Ebook</v>
      </c>
      <c r="F41" s="29" t="str">
        <v>Free promo</v>
      </c>
      <c r="G41" s="29" t="str">
        <v>Amazon.com</v>
      </c>
      <c r="H41" s="30">
        <v>1</v>
      </c>
      <c r="I41" s="30">
        <v>0</v>
      </c>
      <c r="J41" s="30">
        <v>0</v>
      </c>
      <c r="K41" s="31">
        <v>0.35</v>
      </c>
      <c r="L41" s="32">
        <v>0</v>
      </c>
    </row>
    <row r="42" spans="2:12">
      <c r="B42" s="28">
        <v>45748</v>
      </c>
      <c r="C42" s="29" t="str">
        <v>Painting Celia</v>
      </c>
      <c r="D42" s="29" t="str">
        <v>Maya Bairey</v>
      </c>
      <c r="E42" s="29" t="str">
        <v>Ebook</v>
      </c>
      <c r="F42" s="29" t="str">
        <v>Free promo</v>
      </c>
      <c r="G42" s="29" t="str">
        <v>Amazon.de</v>
      </c>
      <c r="H42" s="30">
        <v>1</v>
      </c>
      <c r="I42" s="30">
        <v>0</v>
      </c>
      <c r="J42" s="30">
        <v>0</v>
      </c>
      <c r="K42" s="31">
        <v>0.7</v>
      </c>
      <c r="L42" s="32">
        <v>0</v>
      </c>
    </row>
    <row r="43" spans="2:12">
      <c r="B43" s="28">
        <v>45748</v>
      </c>
      <c r="C43" s="29" t="str">
        <v>Painting Celia</v>
      </c>
      <c r="D43" s="29" t="str">
        <v>Maya Bairey</v>
      </c>
      <c r="E43" s="29" t="str">
        <v>Ebook</v>
      </c>
      <c r="F43" s="29" t="str">
        <v>Free promo</v>
      </c>
      <c r="G43" s="29" t="str">
        <v>Amazon.fr</v>
      </c>
      <c r="H43" s="30">
        <v>1</v>
      </c>
      <c r="I43" s="30">
        <v>0</v>
      </c>
      <c r="J43" s="30">
        <v>0</v>
      </c>
      <c r="K43" s="31">
        <v>0.7</v>
      </c>
      <c r="L43" s="32">
        <v>0</v>
      </c>
    </row>
    <row r="44" spans="2:12">
      <c r="B44" s="28">
        <v>45748</v>
      </c>
      <c r="C44" s="29" t="str">
        <v>Painting Celia</v>
      </c>
      <c r="D44" s="29" t="str">
        <v>Maya Bairey</v>
      </c>
      <c r="E44" s="29" t="str">
        <v>Ebook</v>
      </c>
      <c r="F44" s="29" t="str">
        <v>KENP</v>
      </c>
      <c r="G44" s="29" t="str">
        <v>Amazon.com</v>
      </c>
      <c r="H44" s="30">
        <v>2</v>
      </c>
      <c r="I44" s="30">
        <v>0</v>
      </c>
      <c r="J44" s="30">
        <v>0</v>
      </c>
      <c r="K44" s="31">
        <v>0.7</v>
      </c>
      <c r="L44" s="32">
        <v>0</v>
      </c>
    </row>
    <row r="45" spans="2:12">
      <c r="B45" s="28">
        <v>45748</v>
      </c>
      <c r="C45" s="29" t="str">
        <v>Painting Celia</v>
      </c>
      <c r="D45" s="29" t="str">
        <v>Maya Bairey</v>
      </c>
      <c r="E45" s="29" t="str">
        <v>Ebook</v>
      </c>
      <c r="F45" s="29" t="str">
        <v>KENP</v>
      </c>
      <c r="G45" s="29" t="str">
        <v>Amazon.com</v>
      </c>
      <c r="H45" s="30">
        <v>2</v>
      </c>
      <c r="I45" s="30">
        <v>0</v>
      </c>
      <c r="J45" s="30">
        <v>0</v>
      </c>
      <c r="K45" s="31">
        <v>0.7</v>
      </c>
      <c r="L45" s="32">
        <v>0</v>
      </c>
    </row>
    <row r="46" spans="2:12">
      <c r="B46" s="28">
        <v>45748</v>
      </c>
      <c r="C46" s="29" t="str">
        <v>Painting Celia</v>
      </c>
      <c r="D46" s="29" t="str">
        <v>Maya Bairey</v>
      </c>
      <c r="E46" s="29" t="str">
        <v>Ebook</v>
      </c>
      <c r="F46" s="29" t="str">
        <v>KENP</v>
      </c>
      <c r="G46" s="29" t="str">
        <v>Amazon.com</v>
      </c>
      <c r="H46" s="30">
        <v>2</v>
      </c>
      <c r="I46" s="30">
        <v>0</v>
      </c>
      <c r="J46" s="30">
        <v>0</v>
      </c>
      <c r="K46" s="31">
        <v>0.7</v>
      </c>
      <c r="L46" s="32">
        <v>0</v>
      </c>
    </row>
    <row r="47" spans="2:12">
      <c r="B47" s="28">
        <v>45748</v>
      </c>
      <c r="C47" s="29" t="str">
        <v>Painting Celia</v>
      </c>
      <c r="D47" s="29" t="str">
        <v>Maya Bairey</v>
      </c>
      <c r="E47" s="29" t="str">
        <v>Ebook</v>
      </c>
      <c r="F47" s="29" t="str">
        <v>KENP</v>
      </c>
      <c r="G47" s="29" t="str">
        <v>Amazon.com.br</v>
      </c>
      <c r="H47" s="30">
        <v>2</v>
      </c>
      <c r="I47" s="30">
        <v>0</v>
      </c>
      <c r="J47" s="30">
        <v>0</v>
      </c>
      <c r="K47" s="31">
        <v>0.7</v>
      </c>
      <c r="L47" s="32">
        <v>0</v>
      </c>
    </row>
    <row r="48" spans="2:12">
      <c r="B48" s="28">
        <v>45748</v>
      </c>
      <c r="C48" s="29" t="str">
        <v>Painting Celia</v>
      </c>
      <c r="D48" s="29" t="str">
        <v>Maya Bairey</v>
      </c>
      <c r="E48" s="29" t="str">
        <v>Ebook</v>
      </c>
      <c r="F48" s="29" t="str">
        <v>KENP</v>
      </c>
      <c r="G48" s="29" t="str">
        <v>Amazon.com.mx</v>
      </c>
      <c r="H48" s="30">
        <v>2</v>
      </c>
      <c r="I48" s="30">
        <v>0</v>
      </c>
      <c r="J48" s="30">
        <v>0</v>
      </c>
      <c r="K48" s="31">
        <v>0.7</v>
      </c>
      <c r="L48" s="32">
        <v>0</v>
      </c>
    </row>
    <row r="49" spans="2:12">
      <c r="B49" s="28">
        <v>45748</v>
      </c>
      <c r="C49" s="29" t="str">
        <v>Painting Celia</v>
      </c>
      <c r="D49" s="29" t="str">
        <v>Maya Bairey</v>
      </c>
      <c r="E49" s="29" t="str">
        <v>Ebook</v>
      </c>
      <c r="F49" s="29" t="str">
        <v>KENP</v>
      </c>
      <c r="G49" s="29" t="str">
        <v>Amazon.com.au</v>
      </c>
      <c r="H49" s="30">
        <v>3</v>
      </c>
      <c r="I49" s="30">
        <v>0</v>
      </c>
      <c r="J49" s="30">
        <v>0</v>
      </c>
      <c r="K49" s="31">
        <v>0.7</v>
      </c>
      <c r="L49" s="32">
        <v>0</v>
      </c>
    </row>
    <row r="50" spans="2:12">
      <c r="B50" s="28">
        <v>45748</v>
      </c>
      <c r="C50" s="29" t="str">
        <v>Painting Celia</v>
      </c>
      <c r="D50" s="29" t="str">
        <v>Maya Bairey</v>
      </c>
      <c r="E50" s="29" t="str">
        <v>Paperback</v>
      </c>
      <c r="F50" s="29" t="str">
        <v>Purchase</v>
      </c>
      <c r="G50" s="29" t="str">
        <v>Amazon.com</v>
      </c>
      <c r="H50" s="30">
        <v>3</v>
      </c>
      <c r="I50" s="30">
        <v>0</v>
      </c>
      <c r="J50" s="30">
        <v>0</v>
      </c>
      <c r="K50" s="31">
        <v>0.7</v>
      </c>
      <c r="L50" s="32">
        <v>6.06</v>
      </c>
    </row>
    <row r="51" spans="2:12">
      <c r="B51" s="28">
        <v>45748</v>
      </c>
      <c r="C51" s="29" t="str">
        <v>Painting Celia</v>
      </c>
      <c r="D51" s="29" t="str">
        <v>Maya Bairey</v>
      </c>
      <c r="E51" s="29" t="str">
        <v>Ebook</v>
      </c>
      <c r="F51" s="29" t="str">
        <v>KENP</v>
      </c>
      <c r="G51" s="29" t="str">
        <v>Amazon.it</v>
      </c>
      <c r="H51" s="30">
        <v>4</v>
      </c>
      <c r="I51" s="30">
        <v>0</v>
      </c>
      <c r="J51" s="30">
        <v>0</v>
      </c>
      <c r="K51" s="31">
        <v>0.7</v>
      </c>
      <c r="L51" s="32">
        <v>0</v>
      </c>
    </row>
    <row r="52" spans="2:12">
      <c r="B52" s="28">
        <v>45748</v>
      </c>
      <c r="C52" s="29" t="str">
        <v>Painting Celia</v>
      </c>
      <c r="D52" s="29" t="str">
        <v>Maya Bairey</v>
      </c>
      <c r="E52" s="29" t="str">
        <v>Ebook</v>
      </c>
      <c r="F52" s="29" t="str">
        <v>KENP</v>
      </c>
      <c r="G52" s="29" t="str">
        <v>Amazon.es</v>
      </c>
      <c r="H52" s="30">
        <v>4</v>
      </c>
      <c r="I52" s="30">
        <v>0</v>
      </c>
      <c r="J52" s="30">
        <v>0</v>
      </c>
      <c r="K52" s="31">
        <v>0.7</v>
      </c>
      <c r="L52" s="32">
        <v>0</v>
      </c>
    </row>
    <row r="53" spans="2:12">
      <c r="B53" s="28">
        <v>45748</v>
      </c>
      <c r="C53" s="29" t="str">
        <v>Painting Celia</v>
      </c>
      <c r="D53" s="29" t="str">
        <v>Maya Bairey</v>
      </c>
      <c r="E53" s="29" t="str">
        <v>Ebook</v>
      </c>
      <c r="F53" s="29" t="str">
        <v>KENP</v>
      </c>
      <c r="G53" s="29" t="str">
        <v>Amazon.de</v>
      </c>
      <c r="H53" s="30">
        <v>5</v>
      </c>
      <c r="I53" s="30">
        <v>0</v>
      </c>
      <c r="J53" s="30">
        <v>0</v>
      </c>
      <c r="K53" s="31">
        <v>0.7</v>
      </c>
      <c r="L53" s="32">
        <v>0</v>
      </c>
    </row>
    <row r="54" spans="2:12">
      <c r="B54" s="28">
        <v>45748</v>
      </c>
      <c r="C54" s="29" t="str">
        <v>Painting Celia</v>
      </c>
      <c r="D54" s="29" t="str">
        <v>Maya Bairey</v>
      </c>
      <c r="E54" s="29" t="str">
        <v>Ebook</v>
      </c>
      <c r="F54" s="29" t="str">
        <v>KENP</v>
      </c>
      <c r="G54" s="29" t="str">
        <v>Amazon.nl</v>
      </c>
      <c r="H54" s="30">
        <v>8</v>
      </c>
      <c r="I54" s="30">
        <v>0</v>
      </c>
      <c r="J54" s="30">
        <v>0</v>
      </c>
      <c r="K54" s="31">
        <v>0.7</v>
      </c>
      <c r="L54" s="32">
        <v>0</v>
      </c>
    </row>
    <row r="55" spans="2:12">
      <c r="B55" s="28">
        <v>45748</v>
      </c>
      <c r="C55" s="29" t="str">
        <v>Painting Celia</v>
      </c>
      <c r="D55" s="29" t="str">
        <v>Maya Bairey</v>
      </c>
      <c r="E55" s="29" t="str">
        <v>Ebook</v>
      </c>
      <c r="F55" s="29" t="str">
        <v>Free promo</v>
      </c>
      <c r="G55" s="29" t="str">
        <v>Amazon.de</v>
      </c>
      <c r="H55" s="30">
        <v>20</v>
      </c>
      <c r="I55" s="30">
        <v>0</v>
      </c>
      <c r="J55" s="30">
        <v>0</v>
      </c>
      <c r="K55" s="31">
        <v>0.7</v>
      </c>
      <c r="L55" s="32">
        <v>0</v>
      </c>
    </row>
    <row r="56" spans="2:12">
      <c r="B56" s="28">
        <v>45748</v>
      </c>
      <c r="C56" s="29" t="str">
        <v>Painting Celia</v>
      </c>
      <c r="D56" s="29" t="str">
        <v>Maya Bairey</v>
      </c>
      <c r="E56" s="29" t="str">
        <v>Ebook</v>
      </c>
      <c r="F56" s="29" t="str">
        <v>Free promo</v>
      </c>
      <c r="G56" s="29" t="str">
        <v>Amazon.com.au</v>
      </c>
      <c r="H56" s="30">
        <v>31</v>
      </c>
      <c r="I56" s="30">
        <v>0</v>
      </c>
      <c r="J56" s="30">
        <v>0</v>
      </c>
      <c r="K56" s="31">
        <v>0.7</v>
      </c>
      <c r="L56" s="32">
        <v>0</v>
      </c>
    </row>
    <row r="57" spans="2:12">
      <c r="B57" s="28">
        <v>45748</v>
      </c>
      <c r="C57" s="29" t="str">
        <v>Painting Celia</v>
      </c>
      <c r="D57" s="29" t="str">
        <v>Maya Bairey</v>
      </c>
      <c r="E57" s="29" t="str">
        <v>Ebook</v>
      </c>
      <c r="F57" s="29" t="str">
        <v>Free promo</v>
      </c>
      <c r="G57" s="29" t="str">
        <v>Amazon.ca</v>
      </c>
      <c r="H57" s="30">
        <v>39</v>
      </c>
      <c r="I57" s="30">
        <v>0</v>
      </c>
      <c r="J57" s="30">
        <v>0</v>
      </c>
      <c r="K57" s="31">
        <v>0</v>
      </c>
      <c r="L57" s="32">
        <v>0</v>
      </c>
    </row>
    <row r="58" spans="2:12">
      <c r="B58" s="28">
        <v>45748</v>
      </c>
      <c r="C58" s="29" t="str">
        <v>Painting Celia</v>
      </c>
      <c r="D58" s="29" t="str">
        <v>Maya Bairey</v>
      </c>
      <c r="E58" s="29" t="str">
        <v>Ebook</v>
      </c>
      <c r="F58" s="29" t="str">
        <v>Free promo</v>
      </c>
      <c r="G58" s="29" t="str">
        <v>Amazon.ca</v>
      </c>
      <c r="H58" s="30">
        <v>39</v>
      </c>
      <c r="I58" s="30">
        <v>0</v>
      </c>
      <c r="J58" s="30">
        <v>0</v>
      </c>
      <c r="K58" s="31">
        <v>0</v>
      </c>
      <c r="L58" s="32">
        <v>0</v>
      </c>
    </row>
    <row r="59" spans="2:12">
      <c r="B59" s="28">
        <v>45748</v>
      </c>
      <c r="C59" s="29" t="str">
        <v>Painting Celia</v>
      </c>
      <c r="D59" s="29" t="str">
        <v>Maya Bairey</v>
      </c>
      <c r="E59" s="29" t="str">
        <v>Ebook</v>
      </c>
      <c r="F59" s="29" t="str">
        <v>Free promo</v>
      </c>
      <c r="G59" s="29" t="str">
        <v>Amazon.ca</v>
      </c>
      <c r="H59" s="30">
        <v>40</v>
      </c>
      <c r="I59" s="30">
        <v>0</v>
      </c>
      <c r="J59" s="30">
        <v>0</v>
      </c>
      <c r="K59" s="31">
        <v>0.7</v>
      </c>
      <c r="L59" s="32">
        <v>0</v>
      </c>
    </row>
    <row r="60" spans="2:12">
      <c r="B60" s="28">
        <v>45748</v>
      </c>
      <c r="C60" s="29" t="str">
        <v>Painting Celia</v>
      </c>
      <c r="D60" s="29" t="str">
        <v>Maya Bairey</v>
      </c>
      <c r="E60" s="29" t="str">
        <v>Ebook</v>
      </c>
      <c r="F60" s="29" t="str">
        <v>Free promo</v>
      </c>
      <c r="G60" s="29" t="str">
        <v>Amazon.co.uk</v>
      </c>
      <c r="H60" s="30">
        <v>53</v>
      </c>
      <c r="I60" s="30">
        <v>0</v>
      </c>
      <c r="J60" s="30">
        <v>0</v>
      </c>
      <c r="K60" s="31">
        <v>0.7</v>
      </c>
      <c r="L60" s="32">
        <v>0</v>
      </c>
    </row>
    <row r="61" spans="2:12">
      <c r="B61" s="28">
        <v>45748</v>
      </c>
      <c r="C61" s="29" t="str">
        <v>Painting Celia</v>
      </c>
      <c r="D61" s="29" t="str">
        <v>Maya Bairey</v>
      </c>
      <c r="E61" s="29" t="str">
        <v>Ebook</v>
      </c>
      <c r="F61" s="29" t="str">
        <v>Free promo</v>
      </c>
      <c r="G61" s="29" t="str">
        <v>Amazon.com</v>
      </c>
      <c r="H61" s="30">
        <v>64</v>
      </c>
      <c r="I61" s="30">
        <v>0</v>
      </c>
      <c r="J61" s="30">
        <v>0</v>
      </c>
      <c r="K61" s="31">
        <v>0.35</v>
      </c>
      <c r="L61" s="32">
        <v>0</v>
      </c>
    </row>
    <row r="62" spans="2:12">
      <c r="B62" s="28">
        <v>45748</v>
      </c>
      <c r="C62" s="29" t="str">
        <v>Painting Celia</v>
      </c>
      <c r="D62" s="29" t="str">
        <v>Maya Bairey</v>
      </c>
      <c r="E62" s="29" t="str">
        <v>Ebook</v>
      </c>
      <c r="F62" s="29" t="str">
        <v>Free promo</v>
      </c>
      <c r="G62" s="29" t="str">
        <v>Amazon.com</v>
      </c>
      <c r="H62" s="30">
        <v>401</v>
      </c>
      <c r="I62" s="30">
        <v>0</v>
      </c>
      <c r="J62" s="30">
        <v>0</v>
      </c>
      <c r="K62" s="31">
        <v>0</v>
      </c>
      <c r="L62" s="32">
        <v>0</v>
      </c>
    </row>
    <row r="63" spans="2:12">
      <c r="B63" s="28">
        <v>45748</v>
      </c>
      <c r="C63" s="29" t="str">
        <v>Painting Celia</v>
      </c>
      <c r="D63" s="29" t="str">
        <v>Maya Bairey</v>
      </c>
      <c r="E63" s="29" t="str">
        <v>Ebook</v>
      </c>
      <c r="F63" s="29" t="str">
        <v>Free promo</v>
      </c>
      <c r="G63" s="29" t="str">
        <v>Amazon.com</v>
      </c>
      <c r="H63" s="30">
        <v>1318</v>
      </c>
      <c r="I63" s="30">
        <v>0</v>
      </c>
      <c r="J63" s="30">
        <v>0</v>
      </c>
      <c r="K63" s="31">
        <v>0.7</v>
      </c>
      <c r="L63" s="32">
        <v>0</v>
      </c>
    </row>
    <row r="64" spans="2:12">
      <c r="B64" s="28">
        <v>45750</v>
      </c>
      <c r="C64" s="29" t="str">
        <v>Painting Celia</v>
      </c>
      <c r="D64" s="29" t="str">
        <v>Maya Bairey</v>
      </c>
      <c r="E64" s="29" t="str">
        <v>Ebook</v>
      </c>
      <c r="F64" s="29" t="str">
        <v>KENP</v>
      </c>
      <c r="G64" s="29" t="str">
        <v>Amazon.com</v>
      </c>
      <c r="H64" s="30">
        <v>5</v>
      </c>
      <c r="I64" s="30">
        <v>0</v>
      </c>
      <c r="J64" s="30">
        <v>5</v>
      </c>
      <c r="K64" s="31">
        <v>0</v>
      </c>
      <c r="L64" s="32">
        <v>2.375E-2</v>
      </c>
    </row>
    <row r="65" spans="2:12">
      <c r="B65" s="28">
        <v>45751</v>
      </c>
      <c r="C65" s="29" t="str">
        <v>Painting Celia</v>
      </c>
      <c r="D65" s="29" t="str">
        <v>Maya Bairey</v>
      </c>
      <c r="E65" s="29" t="str">
        <v>Ebook</v>
      </c>
      <c r="F65" s="29" t="str">
        <v>Free promo</v>
      </c>
      <c r="G65" s="29" t="str">
        <v>Amazon.com</v>
      </c>
      <c r="H65" s="30">
        <v>106</v>
      </c>
      <c r="I65" s="30">
        <v>0</v>
      </c>
      <c r="J65" s="30">
        <v>106</v>
      </c>
      <c r="K65" s="31">
        <v>0</v>
      </c>
      <c r="L65" s="32">
        <v>0</v>
      </c>
    </row>
    <row r="66" spans="2:12">
      <c r="B66" s="28">
        <v>45752</v>
      </c>
      <c r="C66" s="29" t="str">
        <v>Painting Celia</v>
      </c>
      <c r="D66" s="29" t="str">
        <v>Maya Bairey</v>
      </c>
      <c r="E66" s="29" t="str">
        <v>Ebook</v>
      </c>
      <c r="F66" s="29" t="str">
        <v>Free promo</v>
      </c>
      <c r="G66" s="29" t="str">
        <v>Amazon.com</v>
      </c>
      <c r="H66" s="30">
        <v>249</v>
      </c>
      <c r="I66" s="30">
        <v>0</v>
      </c>
      <c r="J66" s="30">
        <v>249</v>
      </c>
      <c r="K66" s="31">
        <v>0</v>
      </c>
      <c r="L66" s="32">
        <v>0</v>
      </c>
    </row>
    <row r="67" spans="2:12">
      <c r="B67" s="28">
        <v>45755</v>
      </c>
      <c r="C67" s="29" t="str">
        <v>Painting Celia</v>
      </c>
      <c r="D67" s="29" t="str">
        <v>Maya Bairey</v>
      </c>
      <c r="E67" s="29" t="str">
        <v>Ebook</v>
      </c>
      <c r="F67" s="29" t="str">
        <v>Free promo</v>
      </c>
      <c r="G67" s="29" t="str">
        <v>Amazon.com</v>
      </c>
      <c r="H67" s="30">
        <v>41</v>
      </c>
      <c r="I67" s="30">
        <v>0</v>
      </c>
      <c r="J67" s="30">
        <v>41</v>
      </c>
      <c r="K67" s="31">
        <v>0</v>
      </c>
      <c r="L67" s="32">
        <v>0</v>
      </c>
    </row>
    <row r="68" spans="2:12">
      <c r="B68" s="28">
        <v>45760</v>
      </c>
      <c r="C68" s="29" t="str">
        <v>Painting Celia</v>
      </c>
      <c r="D68" s="29" t="str">
        <v>Maya Bairey</v>
      </c>
      <c r="E68" s="29" t="str">
        <v>Ebook</v>
      </c>
      <c r="F68" s="29" t="str">
        <v>Free promo</v>
      </c>
      <c r="G68" s="29" t="str">
        <v>Amazon.com</v>
      </c>
      <c r="H68" s="30">
        <v>1</v>
      </c>
      <c r="I68" s="30">
        <v>0</v>
      </c>
      <c r="J68" s="30">
        <v>1</v>
      </c>
      <c r="K68" s="31">
        <v>0</v>
      </c>
      <c r="L68" s="32">
        <v>0</v>
      </c>
    </row>
    <row r="69" spans="2:12">
      <c r="B69" s="28">
        <v>45761</v>
      </c>
      <c r="C69" s="29" t="str">
        <v>Painting Celia</v>
      </c>
      <c r="D69" s="29" t="str">
        <v>Maya Bairey</v>
      </c>
      <c r="E69" s="29" t="str">
        <v>Ebook</v>
      </c>
      <c r="F69" s="29" t="str">
        <v>Free promo</v>
      </c>
      <c r="G69" s="29" t="str">
        <v>Amazon.com</v>
      </c>
      <c r="H69" s="30">
        <v>81</v>
      </c>
      <c r="I69" s="30">
        <v>0</v>
      </c>
      <c r="J69" s="30">
        <v>81</v>
      </c>
      <c r="K69" s="31">
        <v>0</v>
      </c>
      <c r="L69" s="32">
        <v>0</v>
      </c>
    </row>
    <row r="70" spans="2:12">
      <c r="B70" s="28">
        <v>45763</v>
      </c>
      <c r="C70" s="29" t="str">
        <v>Painting Celia</v>
      </c>
      <c r="D70" s="29" t="str">
        <v>Maya Bairey</v>
      </c>
      <c r="E70" s="29" t="str">
        <v>Ebook</v>
      </c>
      <c r="F70" s="29" t="str">
        <v>Free promo</v>
      </c>
      <c r="G70" s="29" t="str">
        <v>Amazon.com</v>
      </c>
      <c r="H70" s="30">
        <v>1</v>
      </c>
      <c r="I70" s="30">
        <v>0</v>
      </c>
      <c r="J70" s="30">
        <v>1</v>
      </c>
      <c r="K70" s="31">
        <v>0</v>
      </c>
      <c r="L70" s="32">
        <v>0</v>
      </c>
    </row>
    <row r="71" spans="2:12">
      <c r="B71" s="28">
        <v>45764</v>
      </c>
      <c r="C71" s="29" t="str">
        <v>Painting Celia</v>
      </c>
      <c r="D71" s="29" t="str">
        <v>Maya Bairey</v>
      </c>
      <c r="E71" s="29" t="str">
        <v>Ebook</v>
      </c>
      <c r="F71" s="29" t="str">
        <v>Free promo</v>
      </c>
      <c r="G71" s="29" t="str">
        <v>Amazon.com</v>
      </c>
      <c r="H71" s="30">
        <v>38</v>
      </c>
      <c r="I71" s="30">
        <v>0</v>
      </c>
      <c r="J71" s="30">
        <v>38</v>
      </c>
      <c r="K71" s="31">
        <v>0</v>
      </c>
      <c r="L71" s="32">
        <v>0</v>
      </c>
    </row>
    <row r="72" spans="2:12">
      <c r="B72" s="28">
        <v>45765</v>
      </c>
      <c r="C72" s="29" t="str">
        <v>Painting Celia</v>
      </c>
      <c r="D72" s="29" t="str">
        <v>Maya Bairey</v>
      </c>
      <c r="E72" s="29" t="str">
        <v>Ebook</v>
      </c>
      <c r="F72" s="29" t="str">
        <v>Free promo</v>
      </c>
      <c r="G72" s="29" t="str">
        <v>Amazon.com</v>
      </c>
      <c r="H72" s="30">
        <v>19</v>
      </c>
      <c r="I72" s="30">
        <v>0</v>
      </c>
      <c r="J72" s="30">
        <v>19</v>
      </c>
      <c r="K72" s="31">
        <v>0</v>
      </c>
      <c r="L72" s="32">
        <v>0</v>
      </c>
    </row>
    <row r="73" spans="2:12">
      <c r="B73" s="28">
        <v>45767</v>
      </c>
      <c r="C73" s="29" t="str">
        <v>Painting Celia</v>
      </c>
      <c r="D73" s="29" t="str">
        <v>Maya Bairey</v>
      </c>
      <c r="E73" s="29" t="str">
        <v>Ebook</v>
      </c>
      <c r="F73" s="29" t="str">
        <v>KENP</v>
      </c>
      <c r="G73" s="29" t="str">
        <v>Amazon.com</v>
      </c>
      <c r="H73" s="30">
        <v>2</v>
      </c>
      <c r="I73" s="30">
        <v>0</v>
      </c>
      <c r="J73" s="30">
        <v>2</v>
      </c>
      <c r="K73" s="31">
        <v>0</v>
      </c>
      <c r="L73" s="32">
        <v>9.4999999999999998E-3</v>
      </c>
    </row>
    <row r="74" spans="2:12">
      <c r="B74" s="28">
        <v>45768</v>
      </c>
      <c r="C74" s="29" t="str">
        <v>Painting Celia</v>
      </c>
      <c r="D74" s="29" t="str">
        <v>Maya Bairey</v>
      </c>
      <c r="E74" s="29" t="str">
        <v>Ebook</v>
      </c>
      <c r="F74" s="29" t="str">
        <v>Free promo</v>
      </c>
      <c r="G74" s="29" t="str">
        <v>Amazon.com</v>
      </c>
      <c r="H74" s="30">
        <v>1</v>
      </c>
      <c r="I74" s="30">
        <v>0</v>
      </c>
      <c r="J74" s="30">
        <v>1</v>
      </c>
      <c r="K74" s="31">
        <v>0</v>
      </c>
      <c r="L74" s="32">
        <v>0</v>
      </c>
    </row>
    <row r="75" spans="2:12">
      <c r="B75" s="28">
        <v>45770</v>
      </c>
      <c r="C75" s="29" t="str">
        <v>Painting Celia</v>
      </c>
      <c r="D75" s="29" t="str">
        <v>Maya Bairey</v>
      </c>
      <c r="E75" s="29" t="str">
        <v>Ebook</v>
      </c>
      <c r="F75" s="29" t="str">
        <v>KENP</v>
      </c>
      <c r="G75" s="29" t="str">
        <v>Amazon.com</v>
      </c>
      <c r="H75" s="30">
        <v>7</v>
      </c>
      <c r="I75" s="30">
        <v>0</v>
      </c>
      <c r="J75" s="30">
        <v>7</v>
      </c>
      <c r="K75" s="31">
        <v>0</v>
      </c>
      <c r="L75" s="32">
        <v>3.3250000000000002E-2</v>
      </c>
    </row>
    <row r="76" spans="2:12">
      <c r="B76" s="28">
        <v>45778</v>
      </c>
      <c r="C76" s="29" t="str">
        <v>Painting Celia</v>
      </c>
      <c r="D76" s="29" t="str">
        <v>Maya Bairey</v>
      </c>
      <c r="E76" s="29" t="str">
        <v>Paperback</v>
      </c>
      <c r="F76" s="29" t="str">
        <v>Purchase</v>
      </c>
      <c r="G76" s="29" t="str">
        <v>Amazon.it</v>
      </c>
      <c r="H76" s="30">
        <v>1</v>
      </c>
      <c r="I76" s="30">
        <v>0</v>
      </c>
      <c r="J76" s="30">
        <v>0</v>
      </c>
      <c r="K76" s="31">
        <v>1</v>
      </c>
      <c r="L76" s="32">
        <v>2.79</v>
      </c>
    </row>
    <row r="77" spans="2:12">
      <c r="B77" s="28">
        <v>45778</v>
      </c>
      <c r="C77" s="29" t="str">
        <v>Painting Celia</v>
      </c>
      <c r="D77" s="29" t="str">
        <v>Maya Bairey</v>
      </c>
      <c r="E77" s="29" t="str">
        <v>Paperback</v>
      </c>
      <c r="F77" s="29" t="str">
        <v>Purchase</v>
      </c>
      <c r="G77" s="29" t="str">
        <v>Amazon.com.au</v>
      </c>
      <c r="H77" s="30">
        <v>1</v>
      </c>
      <c r="I77" s="30">
        <v>0</v>
      </c>
      <c r="J77" s="30">
        <v>0</v>
      </c>
      <c r="K77" s="31">
        <v>1</v>
      </c>
      <c r="L77" s="32">
        <v>2.9</v>
      </c>
    </row>
    <row r="78" spans="2:12">
      <c r="B78" s="28">
        <v>45778</v>
      </c>
      <c r="C78" s="29" t="str">
        <v>Painting Celia</v>
      </c>
      <c r="D78" s="29" t="str">
        <v>Maya Bairey</v>
      </c>
      <c r="E78" s="29" t="str">
        <v>Ebook</v>
      </c>
      <c r="F78" s="29" t="str">
        <v>KENP</v>
      </c>
      <c r="G78" s="29" t="str">
        <v>Amazon.com</v>
      </c>
      <c r="H78" s="30">
        <v>551</v>
      </c>
      <c r="I78" s="30">
        <v>0</v>
      </c>
      <c r="J78" s="30">
        <v>0</v>
      </c>
      <c r="K78" s="31">
        <v>1</v>
      </c>
      <c r="L78" s="32">
        <v>2.42</v>
      </c>
    </row>
    <row r="79" spans="2:12">
      <c r="B79" s="28">
        <v>45809</v>
      </c>
      <c r="C79" s="29" t="str">
        <v>Painting Celia</v>
      </c>
      <c r="D79" s="29" t="str">
        <v>Maya Bairey</v>
      </c>
      <c r="E79" s="29" t="str">
        <v>Paperback</v>
      </c>
      <c r="F79" s="29" t="str">
        <v>Purchase</v>
      </c>
      <c r="G79" s="29" t="str">
        <v>Amazon.com</v>
      </c>
      <c r="H79" s="30">
        <v>1</v>
      </c>
      <c r="I79" s="30">
        <v>0</v>
      </c>
      <c r="J79" s="30">
        <v>0</v>
      </c>
      <c r="K79" s="31">
        <v>1</v>
      </c>
      <c r="L79" s="32">
        <v>1.05</v>
      </c>
    </row>
    <row r="80" spans="2:12">
      <c r="B80" s="28">
        <v>45809</v>
      </c>
      <c r="C80" s="29" t="str">
        <v>Painting Celia</v>
      </c>
      <c r="D80" s="29" t="str">
        <v>Maya Bairey</v>
      </c>
      <c r="E80" s="29" t="str">
        <v>Paperback</v>
      </c>
      <c r="F80" s="29" t="str">
        <v>Purchase</v>
      </c>
      <c r="G80" s="29" t="str">
        <v>Amazon.ca</v>
      </c>
      <c r="H80" s="30">
        <v>1</v>
      </c>
      <c r="I80" s="30">
        <v>0</v>
      </c>
      <c r="J80" s="30">
        <v>0</v>
      </c>
      <c r="K80" s="31">
        <v>1</v>
      </c>
      <c r="L80" s="32">
        <v>2.83</v>
      </c>
    </row>
    <row r="81" spans="2:12">
      <c r="B81" s="28">
        <v>45809</v>
      </c>
      <c r="C81" s="29" t="str">
        <v>Painting Celia</v>
      </c>
      <c r="D81" s="29" t="str">
        <v>Maya Bairey</v>
      </c>
      <c r="E81" s="29" t="str">
        <v>Ebook</v>
      </c>
      <c r="F81" s="29" t="str">
        <v>KENP</v>
      </c>
      <c r="G81" s="29" t="str">
        <v>Amazon.com</v>
      </c>
      <c r="H81" s="30">
        <v>39</v>
      </c>
      <c r="I81" s="30">
        <v>0</v>
      </c>
      <c r="J81" s="30">
        <v>0</v>
      </c>
      <c r="K81" s="31">
        <v>1</v>
      </c>
      <c r="L81" s="32">
        <v>0.17</v>
      </c>
    </row>
    <row r="82" spans="2:12">
      <c r="B82" s="28">
        <v>45839</v>
      </c>
      <c r="C82" s="29" t="str">
        <v>Painting Celia</v>
      </c>
      <c r="D82" s="29" t="str">
        <v>Maya Bairey</v>
      </c>
      <c r="E82" s="29" t="str">
        <v>Paperback</v>
      </c>
      <c r="F82" s="29" t="str">
        <v>Purchase</v>
      </c>
      <c r="G82" s="29" t="str">
        <v>Amazon.com</v>
      </c>
      <c r="H82" s="30">
        <v>2</v>
      </c>
      <c r="I82" s="30">
        <v>0</v>
      </c>
      <c r="J82" s="30">
        <v>0</v>
      </c>
      <c r="K82" s="31">
        <v>1</v>
      </c>
      <c r="L82" s="32">
        <v>3.1</v>
      </c>
    </row>
    <row r="83" spans="2:12">
      <c r="B83" s="28">
        <v>45839</v>
      </c>
      <c r="C83" s="29" t="str">
        <v>Painting Celia</v>
      </c>
      <c r="D83" s="29" t="str">
        <v>Maya Bairey</v>
      </c>
      <c r="E83" s="29" t="str">
        <v>Ebook</v>
      </c>
      <c r="F83" s="29" t="str">
        <v>KENP</v>
      </c>
      <c r="G83" s="29" t="str">
        <v>Amazon.com</v>
      </c>
      <c r="H83" s="30">
        <v>515</v>
      </c>
      <c r="I83" s="30">
        <v>0</v>
      </c>
      <c r="J83" s="30">
        <v>0</v>
      </c>
      <c r="K83" s="31">
        <v>1</v>
      </c>
      <c r="L83" s="32">
        <v>2.16</v>
      </c>
    </row>
    <row r="84" spans="2:12">
      <c r="B84" s="28">
        <v>45839</v>
      </c>
      <c r="C84" s="29" t="str">
        <v>Painting Celia</v>
      </c>
      <c r="D84" s="29" t="str">
        <v>Maya Bairey</v>
      </c>
      <c r="E84" s="29" t="str">
        <v>Ebook</v>
      </c>
      <c r="F84" s="29" t="str">
        <v>KENP</v>
      </c>
      <c r="G84" s="29" t="str">
        <v>Amazon.com.au</v>
      </c>
      <c r="H84" s="30">
        <v>108</v>
      </c>
      <c r="I84" s="30">
        <v>0</v>
      </c>
      <c r="J84" s="30">
        <v>0</v>
      </c>
      <c r="K84" s="31">
        <v>1</v>
      </c>
      <c r="L84" s="32">
        <v>0.39</v>
      </c>
    </row>
    <row r="85" spans="2:12">
      <c r="B85" s="28">
        <v>45870</v>
      </c>
      <c r="C85" s="29" t="str">
        <v>Painting Celia</v>
      </c>
      <c r="D85" s="29" t="str">
        <v>Maya Bairey</v>
      </c>
      <c r="E85" s="29" t="str">
        <v>Ebook</v>
      </c>
      <c r="F85" s="29" t="str">
        <v>KENP</v>
      </c>
      <c r="G85" s="29" t="str">
        <v>Amazon.com</v>
      </c>
      <c r="H85" s="30">
        <v>287</v>
      </c>
      <c r="I85" s="30">
        <v>0</v>
      </c>
      <c r="J85" s="30">
        <v>0</v>
      </c>
      <c r="K85" s="31">
        <v>1</v>
      </c>
      <c r="L85" s="32">
        <v>1.23</v>
      </c>
    </row>
    <row r="86" spans="2:12">
      <c r="B86" s="28">
        <v>45901</v>
      </c>
      <c r="C86" s="29" t="str">
        <v>Painting Celia</v>
      </c>
      <c r="D86" s="29" t="str">
        <v>Maya Bairey</v>
      </c>
      <c r="E86" s="29" t="str">
        <v>Ebook</v>
      </c>
      <c r="F86" s="29" t="str">
        <v>KENP</v>
      </c>
      <c r="G86" s="29" t="str">
        <v>Amazon.com</v>
      </c>
      <c r="H86" s="30">
        <v>510</v>
      </c>
      <c r="I86" s="30">
        <v>0</v>
      </c>
      <c r="J86" s="30">
        <v>0</v>
      </c>
      <c r="K86" s="31">
        <v>1</v>
      </c>
      <c r="L86" s="32">
        <v>2.2999999999999998</v>
      </c>
    </row>
    <row r="87" spans="2:12">
      <c r="B87" s="28">
        <v>45992</v>
      </c>
      <c r="C87" s="29" t="str">
        <v>Painting Celia</v>
      </c>
      <c r="D87" s="29" t="str">
        <v>Maya Bairey</v>
      </c>
      <c r="E87" s="29" t="str">
        <v>Ebook</v>
      </c>
      <c r="F87" s="29" t="str">
        <v>Purchase</v>
      </c>
      <c r="G87" s="29" t="str">
        <v>Amazon.ca</v>
      </c>
      <c r="H87" s="30">
        <v>1</v>
      </c>
      <c r="I87" s="30">
        <v>0</v>
      </c>
      <c r="J87" s="30">
        <v>1</v>
      </c>
      <c r="K87" s="31">
        <v>0.7</v>
      </c>
      <c r="L87" s="32">
        <v>2.83</v>
      </c>
    </row>
    <row r="88" spans="2:12">
      <c r="B88" s="28"/>
      <c r="C88" s="29"/>
      <c r="D88" s="29"/>
      <c r="E88" s="29"/>
      <c r="F88" s="29"/>
      <c r="G88" s="29"/>
      <c r="H88" s="30"/>
      <c r="I88" s="30"/>
      <c r="J88" s="30"/>
      <c r="K88" s="31"/>
      <c r="L88" s="32"/>
    </row>
    <row r="89" spans="2:12">
      <c r="B89" s="28"/>
      <c r="C89" s="29"/>
      <c r="D89" s="29"/>
      <c r="E89" s="29"/>
      <c r="F89" s="29"/>
      <c r="G89" s="29"/>
      <c r="H89" s="30"/>
      <c r="I89" s="30"/>
      <c r="J89" s="30"/>
      <c r="K89" s="31"/>
      <c r="L89" s="32"/>
    </row>
    <row r="90" spans="2:12">
      <c r="B90" s="28"/>
      <c r="C90" s="29"/>
      <c r="D90" s="29"/>
      <c r="E90" s="29"/>
      <c r="F90" s="29"/>
      <c r="G90" s="29"/>
      <c r="H90" s="30"/>
      <c r="I90" s="30"/>
      <c r="J90" s="30"/>
      <c r="K90" s="31"/>
      <c r="L90" s="32"/>
    </row>
    <row r="91" spans="2:12">
      <c r="B91" s="28"/>
      <c r="C91" s="29"/>
      <c r="D91" s="29"/>
      <c r="E91" s="29"/>
      <c r="F91" s="29"/>
      <c r="G91" s="29"/>
      <c r="H91" s="30"/>
      <c r="I91" s="30"/>
      <c r="J91" s="30"/>
      <c r="K91" s="31"/>
      <c r="L91" s="32"/>
    </row>
    <row r="92" spans="2:12">
      <c r="B92" s="28"/>
      <c r="C92" s="29"/>
      <c r="D92" s="29"/>
      <c r="E92" s="29"/>
      <c r="F92" s="29"/>
      <c r="G92" s="29"/>
      <c r="H92" s="30"/>
      <c r="I92" s="30"/>
      <c r="J92" s="30"/>
      <c r="K92" s="31"/>
      <c r="L92" s="32"/>
    </row>
  </sheetData>
  <mergeCells count="1">
    <mergeCell ref="G2:L2"/>
  </mergeCells>
  <conditionalFormatting sqref="B16:L200">
    <cfRule type="expression" dxfId="2" priority="1">
      <formula>$F16="Payment"</formula>
    </cfRule>
    <cfRule type="containsText" dxfId="1" priority="2" operator="containsText" text="(multiple)">
      <formula>NOT(ISERROR(SEARCH("(multiple)",B16)))</formula>
    </cfRule>
    <cfRule type="expression" dxfId="0" priority="3">
      <formula>AND($B16&lt;&gt;"", NOT(_xlfn.ISFORMULA($B16)))</formula>
    </cfRule>
  </conditionalFormatting>
  <pageMargins left="0.7" right="0.7" top="0.75" bottom="0.75" header="0.3" footer="0.3"/>
  <pageSetup scale="69" orientation="portrait" horizontalDpi="1200" verticalDpi="1200" r:id="rId1"/>
  <rowBreaks count="1" manualBreakCount="1">
    <brk id="30" max="12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672F4E6-DFAC-4F3F-8DAD-A6D4EA24E07B}">
          <x14:formula1>
            <xm:f>Lists!$L$2:$L$4</xm:f>
          </x14:formula1>
          <xm:sqref>B9</xm:sqref>
        </x14:dataValidation>
        <x14:dataValidation type="list" allowBlank="1" showInputMessage="1" showErrorMessage="1" xr:uid="{4F3B07AE-6A69-4BC8-98CD-AC97D9AC0D16}">
          <x14:formula1>
            <xm:f>Lists!$N$2:$N$40</xm:f>
          </x14:formula1>
          <xm:sqref>G6</xm:sqref>
        </x14:dataValidation>
        <x14:dataValidation type="list" allowBlank="1" showInputMessage="1" showErrorMessage="1" xr:uid="{7257D275-129D-4841-B1A6-50384FD7E8D6}">
          <x14:formula1>
            <xm:f>Lists!$O$2:$O$40</xm:f>
          </x14:formula1>
          <xm:sqref>L6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9C495-F639-42B7-A176-AD82C8F10669}">
  <dimension ref="A1:M160"/>
  <sheetViews>
    <sheetView workbookViewId="0"/>
  </sheetViews>
  <sheetFormatPr defaultRowHeight="15"/>
  <cols>
    <col min="1" max="1" width="10.85546875" style="6" customWidth="1"/>
    <col min="2" max="2" width="25.5703125" style="7" bestFit="1" customWidth="1"/>
    <col min="3" max="3" width="12.28515625" style="7" customWidth="1"/>
    <col min="4" max="4" width="12.7109375" style="7" customWidth="1"/>
    <col min="5" max="5" width="13" style="7" customWidth="1"/>
    <col min="6" max="6" width="15.85546875" style="7" bestFit="1" customWidth="1"/>
    <col min="7" max="7" width="13.5703125" style="7" bestFit="1" customWidth="1"/>
    <col min="8" max="8" width="18.7109375" style="7" bestFit="1" customWidth="1"/>
    <col min="9" max="9" width="17.7109375" style="7" bestFit="1" customWidth="1"/>
    <col min="10" max="10" width="10.5703125" style="7" customWidth="1"/>
    <col min="11" max="11" width="12.7109375" style="7" customWidth="1"/>
    <col min="12" max="16384" width="9.140625" style="7"/>
  </cols>
  <sheetData>
    <row r="1" spans="1:13" s="16" customFormat="1" ht="24">
      <c r="A1" s="15" t="s">
        <v>79</v>
      </c>
    </row>
    <row r="2" spans="1:13" s="16" customFormat="1">
      <c r="A2" s="17"/>
    </row>
    <row r="3" spans="1:13" s="16" customFormat="1" ht="18.75">
      <c r="A3" s="17"/>
      <c r="B3" s="18" t="str">
        <f>B11</f>
        <v>Vella</v>
      </c>
      <c r="C3" s="21">
        <f>SUM(K:K)</f>
        <v>507.20073400000018</v>
      </c>
    </row>
    <row r="4" spans="1:13" s="16" customFormat="1" ht="18.75">
      <c r="A4" s="17"/>
      <c r="B4" s="19" t="s">
        <v>29</v>
      </c>
      <c r="C4" s="20">
        <f>SUMIFS(K10:K1000, D10:D1000, "Ebook", E10:E1000, "&lt;&gt;KENP")</f>
        <v>49.960000000000008</v>
      </c>
    </row>
    <row r="5" spans="1:13" s="16" customFormat="1" ht="18.75">
      <c r="A5" s="17"/>
      <c r="B5" s="19" t="s">
        <v>80</v>
      </c>
      <c r="C5" s="20">
        <f>SUMIFS(K10:K1000, D10:D1000, "Paperback")</f>
        <v>386.88000000000005</v>
      </c>
    </row>
    <row r="6" spans="1:13" s="16" customFormat="1" ht="18.75">
      <c r="A6" s="17"/>
      <c r="B6" s="19" t="s">
        <v>26</v>
      </c>
      <c r="C6" s="20">
        <f>SUMIFS(K10:K1000, D10:D1000, "Ebook", E10:E1000, "KENP")</f>
        <v>63.050733999999999</v>
      </c>
    </row>
    <row r="7" spans="1:13" s="16" customFormat="1">
      <c r="A7" s="17"/>
    </row>
    <row r="8" spans="1:13" s="16" customFormat="1">
      <c r="A8" s="17"/>
    </row>
    <row r="9" spans="1:13" s="16" customFormat="1">
      <c r="A9" s="17"/>
    </row>
    <row r="10" spans="1:13" s="14" customFormat="1" ht="15.75" customHeight="1">
      <c r="A10" s="12" t="s">
        <v>17</v>
      </c>
      <c r="B10" s="13" t="s">
        <v>0</v>
      </c>
      <c r="C10" s="13" t="s">
        <v>1</v>
      </c>
      <c r="D10" s="13" t="s">
        <v>78</v>
      </c>
      <c r="E10" s="13" t="s">
        <v>19</v>
      </c>
      <c r="F10" s="13" t="s">
        <v>2</v>
      </c>
      <c r="G10" s="13" t="s">
        <v>3</v>
      </c>
      <c r="H10" s="13" t="s">
        <v>4</v>
      </c>
      <c r="I10" s="13" t="s">
        <v>18</v>
      </c>
      <c r="J10" s="13" t="s">
        <v>20</v>
      </c>
      <c r="K10" s="13" t="s">
        <v>8</v>
      </c>
    </row>
    <row r="11" spans="1:13">
      <c r="A11" s="6" cm="1">
        <f t="array" ref="A11:K160">_xlfn._xlws.FILTER(Transactions!A2:K978, Transactions!C2:C978="Maya Bairey", "No records")</f>
        <v>45078</v>
      </c>
      <c r="B11" s="7" t="str">
        <v>Vella</v>
      </c>
      <c r="C11" s="7" t="str">
        <v>Maya Bairey</v>
      </c>
      <c r="D11" s="7" t="str">
        <v>Vella</v>
      </c>
      <c r="E11" s="7" t="str">
        <v>KENP</v>
      </c>
      <c r="F11" s="7" t="str">
        <v>Amazon.com</v>
      </c>
      <c r="G11" s="7">
        <v>0</v>
      </c>
      <c r="H11" s="7">
        <v>0</v>
      </c>
      <c r="I11" s="7">
        <v>0</v>
      </c>
      <c r="J11" s="8">
        <v>0</v>
      </c>
      <c r="K11" s="9">
        <v>7.31</v>
      </c>
      <c r="L11" s="10"/>
      <c r="M11" s="10"/>
    </row>
    <row r="12" spans="1:13">
      <c r="A12" s="6">
        <v>45383</v>
      </c>
      <c r="B12" s="7" t="str">
        <v>Painting Celia</v>
      </c>
      <c r="C12" s="7" t="str">
        <v>Maya Bairey</v>
      </c>
      <c r="D12" s="7" t="str">
        <v>Paperback</v>
      </c>
      <c r="E12" s="7" t="str">
        <v>Purchase</v>
      </c>
      <c r="F12" s="7" t="str">
        <v>In person</v>
      </c>
      <c r="G12" s="7">
        <v>1</v>
      </c>
      <c r="H12" s="7">
        <v>0</v>
      </c>
      <c r="I12" s="7">
        <v>1</v>
      </c>
      <c r="J12" s="8">
        <v>1</v>
      </c>
      <c r="K12" s="9">
        <v>9.48</v>
      </c>
      <c r="L12" s="10"/>
      <c r="M12" s="10"/>
    </row>
    <row r="13" spans="1:13">
      <c r="A13" s="6">
        <v>45383</v>
      </c>
      <c r="B13" s="7" t="str">
        <v>Painting Celia</v>
      </c>
      <c r="C13" s="7" t="str">
        <v>Maya Bairey</v>
      </c>
      <c r="D13" s="7" t="str">
        <v>Paperback</v>
      </c>
      <c r="E13" s="7" t="str">
        <v>Purchase</v>
      </c>
      <c r="F13" s="7" t="str">
        <v>In person</v>
      </c>
      <c r="G13" s="7">
        <v>1</v>
      </c>
      <c r="H13" s="7">
        <v>0</v>
      </c>
      <c r="I13" s="7">
        <v>1</v>
      </c>
      <c r="J13" s="8">
        <v>1</v>
      </c>
      <c r="K13" s="9">
        <v>9.48</v>
      </c>
      <c r="L13" s="10"/>
      <c r="M13" s="10"/>
    </row>
    <row r="14" spans="1:13">
      <c r="A14" s="6">
        <v>45383</v>
      </c>
      <c r="B14" s="7" t="str">
        <v>Painting Celia</v>
      </c>
      <c r="C14" s="7" t="str">
        <v>Maya Bairey</v>
      </c>
      <c r="D14" s="7" t="str">
        <v>Paperback</v>
      </c>
      <c r="E14" s="7" t="str">
        <v>Purchase</v>
      </c>
      <c r="F14" s="7" t="str">
        <v>In person</v>
      </c>
      <c r="G14" s="7">
        <v>1</v>
      </c>
      <c r="H14" s="7">
        <v>0</v>
      </c>
      <c r="I14" s="7">
        <v>1</v>
      </c>
      <c r="J14" s="11">
        <v>1</v>
      </c>
      <c r="K14" s="9">
        <v>9.48</v>
      </c>
      <c r="L14" s="10"/>
      <c r="M14" s="10"/>
    </row>
    <row r="15" spans="1:13">
      <c r="A15" s="6">
        <v>45383</v>
      </c>
      <c r="B15" s="7" t="str">
        <v>Painting Celia</v>
      </c>
      <c r="C15" s="7" t="str">
        <v>Maya Bairey</v>
      </c>
      <c r="D15" s="7" t="str">
        <v>Paperback</v>
      </c>
      <c r="E15" s="7" t="str">
        <v>Purchase</v>
      </c>
      <c r="F15" s="7" t="str">
        <v>In person</v>
      </c>
      <c r="G15" s="7">
        <v>1</v>
      </c>
      <c r="H15" s="7">
        <v>0</v>
      </c>
      <c r="I15" s="7">
        <v>1</v>
      </c>
      <c r="J15" s="11">
        <v>1</v>
      </c>
      <c r="K15" s="9">
        <v>9.48</v>
      </c>
      <c r="L15" s="10"/>
      <c r="M15" s="10"/>
    </row>
    <row r="16" spans="1:13">
      <c r="A16" s="6">
        <v>45383</v>
      </c>
      <c r="B16" s="7" t="str">
        <v>Painting Celia</v>
      </c>
      <c r="C16" s="7" t="str">
        <v>Maya Bairey</v>
      </c>
      <c r="D16" s="7" t="str">
        <v>Paperback</v>
      </c>
      <c r="E16" s="7" t="str">
        <v>Purchase</v>
      </c>
      <c r="F16" s="7" t="str">
        <v>In person</v>
      </c>
      <c r="G16" s="7">
        <v>1</v>
      </c>
      <c r="H16" s="7">
        <v>0</v>
      </c>
      <c r="I16" s="7">
        <v>1</v>
      </c>
      <c r="J16" s="8">
        <v>1</v>
      </c>
      <c r="K16" s="9">
        <v>9.48</v>
      </c>
      <c r="L16" s="10"/>
      <c r="M16" s="10"/>
    </row>
    <row r="17" spans="1:13">
      <c r="A17" s="6">
        <v>45413</v>
      </c>
      <c r="B17" s="7" t="str">
        <v>Painting Celia</v>
      </c>
      <c r="C17" s="7" t="str">
        <v>Maya Bairey</v>
      </c>
      <c r="D17" s="7" t="str">
        <v>Ebook</v>
      </c>
      <c r="E17" s="7" t="str">
        <v>Pre-order</v>
      </c>
      <c r="F17" s="7" t="str">
        <v>Amazon.com</v>
      </c>
      <c r="G17" s="7">
        <v>23</v>
      </c>
      <c r="H17" s="7">
        <v>0</v>
      </c>
      <c r="I17" s="7">
        <v>23</v>
      </c>
      <c r="J17" s="8">
        <v>0.35</v>
      </c>
      <c r="K17" s="9">
        <v>8.0500000000000007</v>
      </c>
      <c r="L17" s="10"/>
      <c r="M17" s="10"/>
    </row>
    <row r="18" spans="1:13">
      <c r="A18" s="6">
        <v>45413</v>
      </c>
      <c r="B18" s="7" t="str">
        <v>Painting Celia</v>
      </c>
      <c r="C18" s="7" t="str">
        <v>Maya Bairey</v>
      </c>
      <c r="D18" s="7" t="str">
        <v>Ebook</v>
      </c>
      <c r="E18" s="7" t="str">
        <v>Goodreads</v>
      </c>
      <c r="F18" s="7" t="str">
        <v>Amazon.com</v>
      </c>
      <c r="G18" s="7">
        <v>100</v>
      </c>
      <c r="H18" s="7">
        <v>0</v>
      </c>
      <c r="I18" s="7">
        <v>100</v>
      </c>
      <c r="J18" s="8">
        <v>0.35</v>
      </c>
      <c r="K18" s="9">
        <v>0</v>
      </c>
      <c r="L18" s="10"/>
      <c r="M18" s="10"/>
    </row>
    <row r="19" spans="1:13">
      <c r="A19" s="6">
        <v>45413</v>
      </c>
      <c r="B19" s="7" t="str">
        <v>Painting Celia</v>
      </c>
      <c r="C19" s="7" t="str">
        <v>Maya Bairey</v>
      </c>
      <c r="D19" s="7" t="str">
        <v>Ebook</v>
      </c>
      <c r="E19" s="7" t="str">
        <v>Free promo</v>
      </c>
      <c r="F19" s="7" t="str">
        <v>Amazon.com</v>
      </c>
      <c r="G19" s="7">
        <v>304</v>
      </c>
      <c r="H19" s="7">
        <v>0</v>
      </c>
      <c r="I19" s="7">
        <v>304</v>
      </c>
      <c r="J19" s="8">
        <v>0.35</v>
      </c>
      <c r="K19" s="9">
        <v>0</v>
      </c>
      <c r="L19" s="10"/>
      <c r="M19" s="10"/>
    </row>
    <row r="20" spans="1:13">
      <c r="A20" s="6">
        <v>45413</v>
      </c>
      <c r="B20" s="7" t="str">
        <v>Painting Celia</v>
      </c>
      <c r="C20" s="7" t="str">
        <v>Maya Bairey</v>
      </c>
      <c r="D20" s="7" t="str">
        <v>Ebook</v>
      </c>
      <c r="E20" s="7" t="str">
        <v>Free promo</v>
      </c>
      <c r="F20" s="7" t="str">
        <v>Amazon.com</v>
      </c>
      <c r="G20" s="7">
        <v>1</v>
      </c>
      <c r="H20" s="7">
        <v>0</v>
      </c>
      <c r="I20" s="7">
        <v>1</v>
      </c>
      <c r="J20" s="8">
        <v>0.35</v>
      </c>
      <c r="K20" s="9">
        <v>0</v>
      </c>
      <c r="L20" s="10"/>
      <c r="M20" s="10"/>
    </row>
    <row r="21" spans="1:13">
      <c r="A21" s="6">
        <v>45413</v>
      </c>
      <c r="B21" s="7" t="str">
        <v>Painting Celia</v>
      </c>
      <c r="C21" s="7" t="str">
        <v>Maya Bairey</v>
      </c>
      <c r="D21" s="7" t="str">
        <v>Ebook</v>
      </c>
      <c r="E21" s="7" t="str">
        <v>Free promo</v>
      </c>
      <c r="F21" s="7" t="str">
        <v>Amazon.com</v>
      </c>
      <c r="G21" s="7">
        <v>2</v>
      </c>
      <c r="H21" s="7">
        <v>0</v>
      </c>
      <c r="I21" s="7">
        <v>2</v>
      </c>
      <c r="J21" s="8">
        <v>0.35</v>
      </c>
      <c r="K21" s="9">
        <v>0</v>
      </c>
      <c r="L21" s="10"/>
      <c r="M21" s="10"/>
    </row>
    <row r="22" spans="1:13">
      <c r="A22" s="6">
        <v>45413</v>
      </c>
      <c r="B22" s="7" t="str">
        <v>Painting Celia</v>
      </c>
      <c r="C22" s="7" t="str">
        <v>Maya Bairey</v>
      </c>
      <c r="D22" s="7" t="str">
        <v>Ebook</v>
      </c>
      <c r="E22" s="7" t="str">
        <v>Purchase</v>
      </c>
      <c r="F22" s="7" t="str">
        <v>Amazon.com</v>
      </c>
      <c r="G22" s="7">
        <v>96</v>
      </c>
      <c r="H22" s="7">
        <v>0</v>
      </c>
      <c r="I22" s="7">
        <v>96</v>
      </c>
      <c r="J22" s="11">
        <v>0.35</v>
      </c>
      <c r="K22" s="9">
        <v>33.6</v>
      </c>
      <c r="L22" s="10"/>
      <c r="M22" s="10"/>
    </row>
    <row r="23" spans="1:13">
      <c r="A23" s="6">
        <v>45413</v>
      </c>
      <c r="B23" s="7" t="str">
        <v>Painting Celia</v>
      </c>
      <c r="C23" s="7" t="str">
        <v>Maya Bairey</v>
      </c>
      <c r="D23" s="7" t="str">
        <v>Ebook</v>
      </c>
      <c r="E23" s="7" t="str">
        <v>Free promo</v>
      </c>
      <c r="F23" s="7" t="str">
        <v>Amazon.co.uk</v>
      </c>
      <c r="G23" s="7">
        <v>2</v>
      </c>
      <c r="H23" s="7">
        <v>0</v>
      </c>
      <c r="I23" s="7">
        <v>2</v>
      </c>
      <c r="J23" s="11">
        <v>0.35</v>
      </c>
      <c r="K23" s="9">
        <v>0</v>
      </c>
      <c r="L23" s="10"/>
      <c r="M23" s="10"/>
    </row>
    <row r="24" spans="1:13">
      <c r="A24" s="6">
        <v>45413</v>
      </c>
      <c r="B24" s="7" t="str">
        <v>Painting Celia</v>
      </c>
      <c r="C24" s="7" t="str">
        <v>Maya Bairey</v>
      </c>
      <c r="D24" s="7" t="str">
        <v>Ebook</v>
      </c>
      <c r="E24" s="7" t="str">
        <v>Purchase</v>
      </c>
      <c r="F24" s="7" t="str">
        <v>Amazon.fr</v>
      </c>
      <c r="G24" s="7">
        <v>1</v>
      </c>
      <c r="H24" s="7">
        <v>0</v>
      </c>
      <c r="I24" s="7">
        <v>1</v>
      </c>
      <c r="J24" s="8">
        <v>0.35</v>
      </c>
      <c r="K24" s="9">
        <v>0.3</v>
      </c>
      <c r="L24" s="10"/>
      <c r="M24" s="10"/>
    </row>
    <row r="25" spans="1:13">
      <c r="A25" s="6">
        <v>45413</v>
      </c>
      <c r="B25" s="7" t="str">
        <v>Painting Celia</v>
      </c>
      <c r="C25" s="7" t="str">
        <v>Maya Bairey</v>
      </c>
      <c r="D25" s="7" t="str">
        <v>Ebook</v>
      </c>
      <c r="E25" s="7" t="str">
        <v>Free promo</v>
      </c>
      <c r="F25" s="7" t="str">
        <v>Amazon.co.jp</v>
      </c>
      <c r="G25" s="7">
        <v>1</v>
      </c>
      <c r="H25" s="7">
        <v>0</v>
      </c>
      <c r="I25" s="7">
        <v>1</v>
      </c>
      <c r="J25" s="8">
        <v>0.35</v>
      </c>
      <c r="K25" s="9">
        <v>0</v>
      </c>
      <c r="L25" s="10"/>
      <c r="M25" s="10"/>
    </row>
    <row r="26" spans="1:13">
      <c r="A26" s="6">
        <v>45413</v>
      </c>
      <c r="B26" s="7" t="str">
        <v>Painting Celia</v>
      </c>
      <c r="C26" s="7" t="str">
        <v>Maya Bairey</v>
      </c>
      <c r="D26" s="7" t="str">
        <v>Ebook</v>
      </c>
      <c r="E26" s="7" t="str">
        <v>Pre-order</v>
      </c>
      <c r="F26" s="7" t="str">
        <v>Amazon.ca</v>
      </c>
      <c r="G26" s="7">
        <v>1</v>
      </c>
      <c r="H26" s="7">
        <v>0</v>
      </c>
      <c r="I26" s="7">
        <v>1</v>
      </c>
      <c r="J26" s="8">
        <v>0.35</v>
      </c>
      <c r="K26" s="9">
        <v>0.47</v>
      </c>
      <c r="L26" s="10"/>
      <c r="M26" s="10"/>
    </row>
    <row r="27" spans="1:13">
      <c r="A27" s="6">
        <v>45413</v>
      </c>
      <c r="B27" s="7" t="str">
        <v>Painting Celia</v>
      </c>
      <c r="C27" s="7" t="str">
        <v>Maya Bairey</v>
      </c>
      <c r="D27" s="7" t="str">
        <v>Ebook</v>
      </c>
      <c r="E27" s="7" t="str">
        <v>Pre-order</v>
      </c>
      <c r="F27" s="7" t="str">
        <v>Amazon.ca</v>
      </c>
      <c r="G27" s="7">
        <v>1</v>
      </c>
      <c r="H27" s="7">
        <v>0</v>
      </c>
      <c r="I27" s="7">
        <v>1</v>
      </c>
      <c r="J27" s="8">
        <v>0.35</v>
      </c>
      <c r="K27" s="9">
        <v>0.47</v>
      </c>
      <c r="L27" s="10"/>
      <c r="M27" s="10"/>
    </row>
    <row r="28" spans="1:13">
      <c r="A28" s="6">
        <v>45413</v>
      </c>
      <c r="B28" s="7" t="str">
        <v>Painting Celia</v>
      </c>
      <c r="C28" s="7" t="str">
        <v>Maya Bairey</v>
      </c>
      <c r="D28" s="7" t="str">
        <v>Ebook</v>
      </c>
      <c r="E28" s="7" t="str">
        <v>Free promo</v>
      </c>
      <c r="F28" s="7" t="str">
        <v>Amazon.ca</v>
      </c>
      <c r="G28" s="7">
        <v>10</v>
      </c>
      <c r="H28" s="7">
        <v>0</v>
      </c>
      <c r="I28" s="7">
        <v>10</v>
      </c>
      <c r="J28" s="8">
        <v>0.35</v>
      </c>
      <c r="K28" s="9">
        <v>0</v>
      </c>
      <c r="L28" s="10"/>
      <c r="M28" s="10"/>
    </row>
    <row r="29" spans="1:13">
      <c r="A29" s="6">
        <v>45413</v>
      </c>
      <c r="B29" s="7" t="str">
        <v>Painting Celia</v>
      </c>
      <c r="C29" s="7" t="str">
        <v>Maya Bairey</v>
      </c>
      <c r="D29" s="7" t="str">
        <v>Ebook</v>
      </c>
      <c r="E29" s="7" t="str">
        <v>Free promo</v>
      </c>
      <c r="F29" s="7" t="str">
        <v>Amazon.es</v>
      </c>
      <c r="G29" s="7">
        <v>2</v>
      </c>
      <c r="H29" s="7">
        <v>0</v>
      </c>
      <c r="I29" s="7">
        <v>2</v>
      </c>
      <c r="J29" s="11">
        <v>0.35</v>
      </c>
      <c r="K29" s="9">
        <v>0</v>
      </c>
      <c r="L29" s="10"/>
      <c r="M29" s="10"/>
    </row>
    <row r="30" spans="1:13">
      <c r="A30" s="6">
        <v>45413</v>
      </c>
      <c r="B30" s="7" t="str">
        <v>Painting Celia</v>
      </c>
      <c r="C30" s="7" t="str">
        <v>Maya Bairey</v>
      </c>
      <c r="D30" s="7" t="str">
        <v>Ebook</v>
      </c>
      <c r="E30" s="7" t="str">
        <v>Free promo</v>
      </c>
      <c r="F30" s="7" t="str">
        <v>Amazon.com.au</v>
      </c>
      <c r="G30" s="7">
        <v>6</v>
      </c>
      <c r="H30" s="7">
        <v>0</v>
      </c>
      <c r="I30" s="7">
        <v>6</v>
      </c>
      <c r="J30" s="11">
        <v>0.35</v>
      </c>
      <c r="K30" s="9">
        <v>0</v>
      </c>
      <c r="L30" s="10"/>
      <c r="M30" s="10"/>
    </row>
    <row r="31" spans="1:13">
      <c r="A31" s="6">
        <v>45413</v>
      </c>
      <c r="B31" s="7" t="str">
        <v>Painting Celia</v>
      </c>
      <c r="C31" s="7" t="str">
        <v>Maya Bairey</v>
      </c>
      <c r="D31" s="7" t="str">
        <v>Ebook</v>
      </c>
      <c r="E31" s="7" t="str">
        <v>Free promo</v>
      </c>
      <c r="F31" s="7" t="str">
        <v>Amazon.com.br</v>
      </c>
      <c r="G31" s="7">
        <v>2</v>
      </c>
      <c r="H31" s="7">
        <v>0</v>
      </c>
      <c r="I31" s="7">
        <v>2</v>
      </c>
      <c r="J31" s="8">
        <v>0.35</v>
      </c>
      <c r="K31" s="9">
        <v>0</v>
      </c>
      <c r="L31" s="10"/>
      <c r="M31" s="10"/>
    </row>
    <row r="32" spans="1:13">
      <c r="A32" s="6">
        <v>45413</v>
      </c>
      <c r="B32" s="7" t="str">
        <v>Painting Celia</v>
      </c>
      <c r="C32" s="7" t="str">
        <v>Maya Bairey</v>
      </c>
      <c r="D32" s="7" t="str">
        <v>Paperback</v>
      </c>
      <c r="E32" s="7" t="str">
        <v>Purchase</v>
      </c>
      <c r="F32" s="7" t="str">
        <v>Amazon.com</v>
      </c>
      <c r="G32" s="7">
        <v>1</v>
      </c>
      <c r="H32" s="7">
        <v>0</v>
      </c>
      <c r="I32" s="7">
        <v>1</v>
      </c>
      <c r="J32" s="8">
        <v>0.6</v>
      </c>
      <c r="K32" s="9">
        <v>1.1100000000000001</v>
      </c>
      <c r="L32" s="10"/>
      <c r="M32" s="10"/>
    </row>
    <row r="33" spans="1:13">
      <c r="A33" s="6">
        <v>45413</v>
      </c>
      <c r="B33" s="7" t="str">
        <v>Painting Celia</v>
      </c>
      <c r="C33" s="7" t="str">
        <v>Maya Bairey</v>
      </c>
      <c r="D33" s="7" t="str">
        <v>Paperback</v>
      </c>
      <c r="E33" s="7" t="str">
        <v>Purchase</v>
      </c>
      <c r="F33" s="7" t="str">
        <v>Amazon.com</v>
      </c>
      <c r="G33" s="7">
        <v>1</v>
      </c>
      <c r="H33" s="7">
        <v>0</v>
      </c>
      <c r="I33" s="7">
        <v>1</v>
      </c>
      <c r="J33" s="8">
        <v>0.6</v>
      </c>
      <c r="K33" s="9">
        <v>1.1100000000000001</v>
      </c>
      <c r="L33" s="10"/>
      <c r="M33" s="10"/>
    </row>
    <row r="34" spans="1:13">
      <c r="A34" s="6">
        <v>45413</v>
      </c>
      <c r="B34" s="7" t="str">
        <v>Painting Celia</v>
      </c>
      <c r="C34" s="7" t="str">
        <v>Maya Bairey</v>
      </c>
      <c r="D34" s="7" t="str">
        <v>Paperback</v>
      </c>
      <c r="E34" s="7" t="str">
        <v>Purchase</v>
      </c>
      <c r="F34" s="7" t="str">
        <v>Amazon.com</v>
      </c>
      <c r="G34" s="7">
        <v>1</v>
      </c>
      <c r="H34" s="7">
        <v>0</v>
      </c>
      <c r="I34" s="7">
        <v>1</v>
      </c>
      <c r="J34" s="8">
        <v>0.6</v>
      </c>
      <c r="K34" s="9">
        <v>1.1100000000000001</v>
      </c>
      <c r="L34" s="10"/>
      <c r="M34" s="10"/>
    </row>
    <row r="35" spans="1:13">
      <c r="A35" s="6">
        <v>45413</v>
      </c>
      <c r="B35" s="7" t="str">
        <v>Painting Celia</v>
      </c>
      <c r="C35" s="7" t="str">
        <v>Maya Bairey</v>
      </c>
      <c r="D35" s="7" t="str">
        <v>Paperback</v>
      </c>
      <c r="E35" s="7" t="str">
        <v>Purchase</v>
      </c>
      <c r="F35" s="7" t="str">
        <v>Amazon.com</v>
      </c>
      <c r="G35" s="7">
        <v>1</v>
      </c>
      <c r="H35" s="7">
        <v>0</v>
      </c>
      <c r="I35" s="7">
        <v>1</v>
      </c>
      <c r="J35" s="8">
        <v>0.6</v>
      </c>
      <c r="K35" s="9">
        <v>1.1100000000000001</v>
      </c>
      <c r="L35" s="10"/>
      <c r="M35" s="10"/>
    </row>
    <row r="36" spans="1:13">
      <c r="A36" s="6">
        <v>45413</v>
      </c>
      <c r="B36" s="7" t="str">
        <v>Painting Celia</v>
      </c>
      <c r="C36" s="7" t="str">
        <v>Maya Bairey</v>
      </c>
      <c r="D36" s="7" t="str">
        <v>Paperback</v>
      </c>
      <c r="E36" s="7" t="str">
        <v>Purchase</v>
      </c>
      <c r="F36" s="7" t="str">
        <v>Amazon.com</v>
      </c>
      <c r="G36" s="7">
        <v>1</v>
      </c>
      <c r="H36" s="7">
        <v>0</v>
      </c>
      <c r="I36" s="7">
        <v>1</v>
      </c>
      <c r="J36" s="8">
        <v>0.6</v>
      </c>
      <c r="K36" s="9">
        <v>1.1100000000000001</v>
      </c>
      <c r="L36" s="10"/>
      <c r="M36" s="10"/>
    </row>
    <row r="37" spans="1:13">
      <c r="A37" s="6">
        <v>45413</v>
      </c>
      <c r="B37" s="7" t="str">
        <v>Painting Celia</v>
      </c>
      <c r="C37" s="7" t="str">
        <v>Maya Bairey</v>
      </c>
      <c r="D37" s="7" t="str">
        <v>Paperback</v>
      </c>
      <c r="E37" s="7" t="str">
        <v>Purchase</v>
      </c>
      <c r="F37" s="7" t="str">
        <v>Amazon.com</v>
      </c>
      <c r="G37" s="7">
        <v>7</v>
      </c>
      <c r="H37" s="7">
        <v>0</v>
      </c>
      <c r="I37" s="7">
        <v>7</v>
      </c>
      <c r="J37" s="8">
        <v>0.6</v>
      </c>
      <c r="K37" s="9">
        <v>7.77</v>
      </c>
      <c r="L37" s="10"/>
      <c r="M37" s="10"/>
    </row>
    <row r="38" spans="1:13">
      <c r="A38" s="6">
        <v>45413</v>
      </c>
      <c r="B38" s="7" t="str">
        <v>Painting Celia</v>
      </c>
      <c r="C38" s="7" t="str">
        <v>Maya Bairey</v>
      </c>
      <c r="D38" s="7" t="str">
        <v>Paperback</v>
      </c>
      <c r="E38" s="7" t="str">
        <v>Purchase</v>
      </c>
      <c r="F38" s="7" t="str">
        <v>Amazon.com</v>
      </c>
      <c r="G38" s="7">
        <v>3</v>
      </c>
      <c r="H38" s="7">
        <v>0</v>
      </c>
      <c r="I38" s="7">
        <v>3</v>
      </c>
      <c r="J38" s="8">
        <v>0.6</v>
      </c>
      <c r="K38" s="9">
        <v>3.33</v>
      </c>
      <c r="L38" s="10"/>
      <c r="M38" s="10"/>
    </row>
    <row r="39" spans="1:13">
      <c r="A39" s="6">
        <v>45413</v>
      </c>
      <c r="B39" s="7" t="str">
        <v>Painting Celia</v>
      </c>
      <c r="C39" s="7" t="str">
        <v>Maya Bairey</v>
      </c>
      <c r="D39" s="7" t="str">
        <v>Ebook</v>
      </c>
      <c r="E39" s="7" t="str">
        <v>KENP</v>
      </c>
      <c r="F39" s="7" t="str">
        <v>Amazon.ca</v>
      </c>
      <c r="G39" s="7">
        <v>514</v>
      </c>
      <c r="H39" s="7">
        <v>0</v>
      </c>
      <c r="I39" s="7">
        <v>0</v>
      </c>
      <c r="J39" s="11">
        <v>0</v>
      </c>
      <c r="K39" s="9">
        <v>2.2585160000000002</v>
      </c>
      <c r="L39" s="10"/>
      <c r="M39" s="10"/>
    </row>
    <row r="40" spans="1:13">
      <c r="A40" s="6">
        <v>45413</v>
      </c>
      <c r="B40" s="7" t="str">
        <v>Painting Celia</v>
      </c>
      <c r="C40" s="7" t="str">
        <v>Maya Bairey</v>
      </c>
      <c r="D40" s="7" t="str">
        <v>Ebook</v>
      </c>
      <c r="E40" s="7" t="str">
        <v>KENP</v>
      </c>
      <c r="F40" s="7" t="str">
        <v>Amazon.com</v>
      </c>
      <c r="G40" s="7">
        <v>4976</v>
      </c>
      <c r="H40" s="7">
        <v>0</v>
      </c>
      <c r="I40" s="7">
        <v>0</v>
      </c>
      <c r="J40" s="11">
        <v>0</v>
      </c>
      <c r="K40" s="9">
        <v>21.864544000000002</v>
      </c>
      <c r="L40" s="10"/>
      <c r="M40" s="10"/>
    </row>
    <row r="41" spans="1:13">
      <c r="A41" s="6">
        <v>45413</v>
      </c>
      <c r="B41" s="7" t="str">
        <v>Painting Celia</v>
      </c>
      <c r="C41" s="7" t="str">
        <v>Maya Bairey</v>
      </c>
      <c r="D41" s="7" t="str">
        <v>Ebook</v>
      </c>
      <c r="E41" s="7" t="str">
        <v>KENP</v>
      </c>
      <c r="F41" s="7" t="str">
        <v>Amazon.com.br</v>
      </c>
      <c r="G41" s="7">
        <v>363</v>
      </c>
      <c r="H41" s="7">
        <v>0</v>
      </c>
      <c r="I41" s="7">
        <v>0</v>
      </c>
      <c r="J41" s="8">
        <v>0</v>
      </c>
      <c r="K41" s="9">
        <v>1.5950220000000002</v>
      </c>
      <c r="L41" s="10"/>
      <c r="M41" s="10"/>
    </row>
    <row r="42" spans="1:13">
      <c r="A42" s="6">
        <v>45423</v>
      </c>
      <c r="B42" s="7" t="str">
        <v>Painting Celia</v>
      </c>
      <c r="C42" s="7" t="str">
        <v>Maya Bairey</v>
      </c>
      <c r="D42" s="7" t="str">
        <v>Paperback</v>
      </c>
      <c r="E42" s="7" t="str">
        <v>Purchase</v>
      </c>
      <c r="F42" s="7" t="str">
        <v>In person</v>
      </c>
      <c r="G42" s="7">
        <v>1</v>
      </c>
      <c r="H42" s="7">
        <v>0</v>
      </c>
      <c r="I42" s="7">
        <v>1</v>
      </c>
      <c r="J42" s="11">
        <v>1</v>
      </c>
      <c r="K42" s="9">
        <v>10</v>
      </c>
      <c r="L42" s="10"/>
      <c r="M42" s="10"/>
    </row>
    <row r="43" spans="1:13">
      <c r="A43" s="6">
        <v>45423</v>
      </c>
      <c r="B43" s="7" t="str">
        <v>Painting Celia</v>
      </c>
      <c r="C43" s="7" t="str">
        <v>Maya Bairey</v>
      </c>
      <c r="D43" s="7" t="str">
        <v>Paperback</v>
      </c>
      <c r="E43" s="7" t="str">
        <v>Purchase</v>
      </c>
      <c r="F43" s="7" t="str">
        <v>In person</v>
      </c>
      <c r="G43" s="7">
        <v>1</v>
      </c>
      <c r="H43" s="7">
        <v>0</v>
      </c>
      <c r="I43" s="7">
        <v>1</v>
      </c>
      <c r="J43" s="8">
        <v>1</v>
      </c>
      <c r="K43" s="9">
        <v>5</v>
      </c>
      <c r="L43" s="10"/>
      <c r="M43" s="10"/>
    </row>
    <row r="44" spans="1:13">
      <c r="A44" s="6">
        <v>45423</v>
      </c>
      <c r="B44" s="7" t="str">
        <v>Painting Celia</v>
      </c>
      <c r="C44" s="7" t="str">
        <v>Maya Bairey</v>
      </c>
      <c r="D44" s="7" t="str">
        <v>Paperback</v>
      </c>
      <c r="E44" s="7" t="str">
        <v>Purchase</v>
      </c>
      <c r="F44" s="7" t="str">
        <v>In person</v>
      </c>
      <c r="G44" s="7">
        <v>1</v>
      </c>
      <c r="H44" s="7">
        <v>0</v>
      </c>
      <c r="I44" s="7">
        <v>1</v>
      </c>
      <c r="J44" s="11">
        <v>1</v>
      </c>
      <c r="K44" s="9">
        <v>5</v>
      </c>
      <c r="L44" s="10"/>
      <c r="M44" s="10"/>
    </row>
    <row r="45" spans="1:13">
      <c r="A45" s="6">
        <v>45423</v>
      </c>
      <c r="B45" s="7" t="str">
        <v>Painting Celia</v>
      </c>
      <c r="C45" s="7" t="str">
        <v>Maya Bairey</v>
      </c>
      <c r="D45" s="7" t="str">
        <v>Paperback</v>
      </c>
      <c r="E45" s="7" t="str">
        <v>Purchase</v>
      </c>
      <c r="F45" s="7" t="str">
        <v>In person</v>
      </c>
      <c r="G45" s="7">
        <v>1</v>
      </c>
      <c r="H45" s="7">
        <v>0</v>
      </c>
      <c r="I45" s="7">
        <v>1</v>
      </c>
      <c r="J45" s="11">
        <v>1</v>
      </c>
      <c r="K45" s="9">
        <v>5</v>
      </c>
      <c r="L45" s="10"/>
      <c r="M45" s="10"/>
    </row>
    <row r="46" spans="1:13">
      <c r="A46" s="6">
        <v>45423</v>
      </c>
      <c r="B46" s="7" t="str">
        <v>Painting Celia</v>
      </c>
      <c r="C46" s="7" t="str">
        <v>Maya Bairey</v>
      </c>
      <c r="D46" s="7" t="str">
        <v>Paperback</v>
      </c>
      <c r="E46" s="7" t="str">
        <v>Purchase</v>
      </c>
      <c r="F46" s="7" t="str">
        <v>In person</v>
      </c>
      <c r="G46" s="7">
        <v>1</v>
      </c>
      <c r="H46" s="7">
        <v>0</v>
      </c>
      <c r="I46" s="7">
        <v>1</v>
      </c>
      <c r="J46" s="8">
        <v>1</v>
      </c>
      <c r="K46" s="9">
        <v>5</v>
      </c>
      <c r="L46" s="10"/>
      <c r="M46" s="10"/>
    </row>
    <row r="47" spans="1:13">
      <c r="A47" s="6">
        <v>45427</v>
      </c>
      <c r="B47" s="7" t="str">
        <v>Painting Celia</v>
      </c>
      <c r="C47" s="7" t="str">
        <v>Maya Bairey</v>
      </c>
      <c r="D47" s="7" t="str">
        <v>Paperback</v>
      </c>
      <c r="E47" s="7" t="str">
        <v>Purchase</v>
      </c>
      <c r="F47" s="7" t="str">
        <v>In person</v>
      </c>
      <c r="G47" s="7">
        <v>1</v>
      </c>
      <c r="H47" s="7">
        <v>0</v>
      </c>
      <c r="I47" s="7">
        <v>1</v>
      </c>
      <c r="J47" s="8">
        <v>1</v>
      </c>
      <c r="K47" s="9">
        <v>5</v>
      </c>
      <c r="L47" s="10"/>
      <c r="M47" s="10"/>
    </row>
    <row r="48" spans="1:13">
      <c r="A48" s="6">
        <v>45444</v>
      </c>
      <c r="B48" s="7" t="str">
        <v>Painting Celia</v>
      </c>
      <c r="C48" s="7" t="str">
        <v>Maya Bairey</v>
      </c>
      <c r="D48" s="7" t="str">
        <v>Ebook</v>
      </c>
      <c r="E48" s="7" t="str">
        <v>Purchase</v>
      </c>
      <c r="F48" s="7" t="str">
        <v>Amazon.com</v>
      </c>
      <c r="G48" s="7">
        <v>3</v>
      </c>
      <c r="H48" s="7">
        <v>0</v>
      </c>
      <c r="I48" s="7">
        <v>3</v>
      </c>
      <c r="J48" s="8">
        <v>0.35</v>
      </c>
      <c r="K48" s="9">
        <v>1.05</v>
      </c>
      <c r="L48" s="10"/>
      <c r="M48" s="10"/>
    </row>
    <row r="49" spans="1:13">
      <c r="A49" s="6">
        <v>45444</v>
      </c>
      <c r="B49" s="7" t="str">
        <v>Painting Celia</v>
      </c>
      <c r="C49" s="7" t="str">
        <v>Maya Bairey</v>
      </c>
      <c r="D49" s="7" t="str">
        <v>Ebook</v>
      </c>
      <c r="E49" s="7" t="str">
        <v>Purchase</v>
      </c>
      <c r="F49" s="7" t="str">
        <v>Amazon.ca</v>
      </c>
      <c r="G49" s="7">
        <v>1</v>
      </c>
      <c r="H49" s="7">
        <v>0</v>
      </c>
      <c r="I49" s="7">
        <v>1</v>
      </c>
      <c r="J49" s="8">
        <v>0.35</v>
      </c>
      <c r="K49" s="9">
        <v>0.47</v>
      </c>
      <c r="L49" s="10"/>
      <c r="M49" s="10"/>
    </row>
    <row r="50" spans="1:13">
      <c r="A50" s="6">
        <v>45444</v>
      </c>
      <c r="B50" s="7" t="str">
        <v>Painting Celia</v>
      </c>
      <c r="C50" s="7" t="str">
        <v>Maya Bairey</v>
      </c>
      <c r="D50" s="7" t="str">
        <v>Ebook</v>
      </c>
      <c r="E50" s="7" t="str">
        <v>KENP</v>
      </c>
      <c r="F50" s="7" t="str">
        <v>Amazon.com</v>
      </c>
      <c r="G50" s="7">
        <v>770</v>
      </c>
      <c r="H50" s="7">
        <v>0</v>
      </c>
      <c r="I50" s="7">
        <v>0</v>
      </c>
      <c r="J50" s="8">
        <v>0</v>
      </c>
      <c r="K50" s="9">
        <v>3.3833800000000003</v>
      </c>
      <c r="L50" s="10"/>
      <c r="M50" s="10"/>
    </row>
    <row r="51" spans="1:13">
      <c r="A51" s="6">
        <v>45474</v>
      </c>
      <c r="B51" s="7" t="str">
        <v>Painting Celia</v>
      </c>
      <c r="C51" s="7" t="str">
        <v>Maya Bairey</v>
      </c>
      <c r="D51" s="7" t="str">
        <v>Paperback</v>
      </c>
      <c r="E51" s="7" t="str">
        <v>Purchase</v>
      </c>
      <c r="F51" s="7" t="str">
        <v>Amazon.com</v>
      </c>
      <c r="G51" s="7">
        <v>1</v>
      </c>
      <c r="H51" s="7">
        <v>0</v>
      </c>
      <c r="I51" s="7">
        <v>1</v>
      </c>
      <c r="J51" s="11">
        <v>0.6</v>
      </c>
      <c r="K51" s="9">
        <v>1.1100000000000001</v>
      </c>
      <c r="L51" s="10"/>
      <c r="M51" s="10"/>
    </row>
    <row r="52" spans="1:13">
      <c r="A52" s="6">
        <v>45474</v>
      </c>
      <c r="B52" s="7" t="str">
        <v>Painting Celia</v>
      </c>
      <c r="C52" s="7" t="str">
        <v>Maya Bairey</v>
      </c>
      <c r="D52" s="7" t="str">
        <v>Ebook</v>
      </c>
      <c r="E52" s="7" t="str">
        <v>KENP</v>
      </c>
      <c r="F52" s="7" t="str">
        <v>Amazon.co.uk</v>
      </c>
      <c r="G52" s="7">
        <v>5</v>
      </c>
      <c r="H52" s="7">
        <v>0</v>
      </c>
      <c r="I52" s="7">
        <v>0</v>
      </c>
      <c r="J52" s="11">
        <v>0</v>
      </c>
      <c r="K52" s="9">
        <v>2.1970000000000003E-2</v>
      </c>
      <c r="L52" s="10"/>
      <c r="M52" s="10"/>
    </row>
    <row r="53" spans="1:13">
      <c r="A53" s="6">
        <v>45474</v>
      </c>
      <c r="B53" s="7" t="str">
        <v>Painting Celia</v>
      </c>
      <c r="C53" s="7" t="str">
        <v>Maya Bairey</v>
      </c>
      <c r="D53" s="7" t="str">
        <v>Ebook</v>
      </c>
      <c r="E53" s="7" t="str">
        <v>KENP</v>
      </c>
      <c r="F53" s="7" t="str">
        <v>Amazon.com</v>
      </c>
      <c r="G53" s="7">
        <v>1010</v>
      </c>
      <c r="H53" s="7">
        <v>0</v>
      </c>
      <c r="I53" s="7">
        <v>0</v>
      </c>
      <c r="J53" s="8">
        <v>0</v>
      </c>
      <c r="K53" s="9">
        <v>4.4379400000000002</v>
      </c>
      <c r="L53" s="10"/>
      <c r="M53" s="10"/>
    </row>
    <row r="54" spans="1:13">
      <c r="A54" s="6">
        <v>45505</v>
      </c>
      <c r="B54" s="7" t="str">
        <v>Painting Celia</v>
      </c>
      <c r="C54" s="7" t="str">
        <v>Maya Bairey</v>
      </c>
      <c r="D54" s="7" t="str">
        <v>Paperback</v>
      </c>
      <c r="E54" s="7" t="str">
        <v>Purchase</v>
      </c>
      <c r="F54" s="7" t="str">
        <v>Amazon.com</v>
      </c>
      <c r="G54" s="7">
        <v>1</v>
      </c>
      <c r="H54" s="7">
        <v>0</v>
      </c>
      <c r="I54" s="7">
        <v>1</v>
      </c>
      <c r="J54" s="8">
        <v>0.6</v>
      </c>
      <c r="K54" s="9">
        <v>1.1100000000000001</v>
      </c>
      <c r="L54" s="10"/>
      <c r="M54" s="10"/>
    </row>
    <row r="55" spans="1:13">
      <c r="A55" s="6">
        <v>45505</v>
      </c>
      <c r="B55" s="7" t="str">
        <v>Painting Celia</v>
      </c>
      <c r="C55" s="7" t="str">
        <v>Maya Bairey</v>
      </c>
      <c r="D55" s="7" t="str">
        <v>Paperback</v>
      </c>
      <c r="E55" s="7" t="str">
        <v>Purchase</v>
      </c>
      <c r="F55" s="7" t="str">
        <v>Amazon.com</v>
      </c>
      <c r="G55" s="7">
        <v>1</v>
      </c>
      <c r="H55" s="7">
        <v>0</v>
      </c>
      <c r="I55" s="7">
        <v>1</v>
      </c>
      <c r="J55" s="8">
        <v>0.6</v>
      </c>
      <c r="K55" s="9">
        <v>1.1100000000000001</v>
      </c>
      <c r="L55" s="10"/>
      <c r="M55" s="10"/>
    </row>
    <row r="56" spans="1:13">
      <c r="A56" s="6">
        <v>45505</v>
      </c>
      <c r="B56" s="7" t="str">
        <v>Painting Celia</v>
      </c>
      <c r="C56" s="7" t="str">
        <v>Maya Bairey</v>
      </c>
      <c r="D56" s="7" t="str">
        <v>Paperback</v>
      </c>
      <c r="E56" s="7" t="str">
        <v>Purchase</v>
      </c>
      <c r="F56" s="7" t="str">
        <v>Amazon.com</v>
      </c>
      <c r="G56" s="7">
        <v>1</v>
      </c>
      <c r="H56" s="7">
        <v>0</v>
      </c>
      <c r="I56" s="7">
        <v>1</v>
      </c>
      <c r="J56" s="8">
        <v>0.6</v>
      </c>
      <c r="K56" s="9">
        <v>1.1100000000000001</v>
      </c>
      <c r="L56" s="10"/>
      <c r="M56" s="10"/>
    </row>
    <row r="57" spans="1:13">
      <c r="A57" s="6">
        <v>45505</v>
      </c>
      <c r="B57" s="7" t="str">
        <v>Painting Celia</v>
      </c>
      <c r="C57" s="7" t="str">
        <v>Maya Bairey</v>
      </c>
      <c r="D57" s="7" t="str">
        <v>Paperback</v>
      </c>
      <c r="E57" s="7" t="str">
        <v>Purchase</v>
      </c>
      <c r="F57" s="7" t="str">
        <v>Amazon.com</v>
      </c>
      <c r="G57" s="7">
        <v>1</v>
      </c>
      <c r="H57" s="7">
        <v>0</v>
      </c>
      <c r="I57" s="7">
        <v>1</v>
      </c>
      <c r="J57" s="11">
        <v>0.6</v>
      </c>
      <c r="K57" s="9">
        <v>1.55</v>
      </c>
      <c r="L57" s="10"/>
      <c r="M57" s="10"/>
    </row>
    <row r="58" spans="1:13">
      <c r="A58" s="6">
        <v>45505</v>
      </c>
      <c r="B58" s="7" t="str">
        <v>Painting Celia</v>
      </c>
      <c r="C58" s="7" t="str">
        <v>Maya Bairey</v>
      </c>
      <c r="D58" s="7" t="str">
        <v>Ebook</v>
      </c>
      <c r="E58" s="7" t="str">
        <v>KENP</v>
      </c>
      <c r="F58" s="7" t="str">
        <v>Amazon.com</v>
      </c>
      <c r="G58" s="7">
        <v>1058</v>
      </c>
      <c r="H58" s="7">
        <v>0</v>
      </c>
      <c r="I58" s="7">
        <v>0</v>
      </c>
      <c r="J58" s="8">
        <v>0</v>
      </c>
      <c r="K58" s="9">
        <v>4.6488520000000007</v>
      </c>
      <c r="L58" s="10"/>
      <c r="M58" s="10"/>
    </row>
    <row r="59" spans="1:13">
      <c r="A59" s="6">
        <v>45536</v>
      </c>
      <c r="B59" s="7" t="str">
        <v>Painting Celia</v>
      </c>
      <c r="C59" s="7" t="str">
        <v>Maya Bairey</v>
      </c>
      <c r="D59" s="7" t="str">
        <v>Ebook</v>
      </c>
      <c r="E59" s="7" t="str">
        <v>Goodreads</v>
      </c>
      <c r="F59" s="7" t="str">
        <v>Amazon.com</v>
      </c>
      <c r="G59" s="7">
        <v>100</v>
      </c>
      <c r="H59" s="7">
        <v>0</v>
      </c>
      <c r="I59" s="7">
        <v>100</v>
      </c>
      <c r="J59" s="11">
        <v>0.35</v>
      </c>
      <c r="K59" s="9">
        <v>0</v>
      </c>
      <c r="L59" s="10"/>
      <c r="M59" s="10"/>
    </row>
    <row r="60" spans="1:13">
      <c r="A60" s="6">
        <v>45536</v>
      </c>
      <c r="B60" s="7" t="str">
        <v>Painting Celia</v>
      </c>
      <c r="C60" s="7" t="str">
        <v>Maya Bairey</v>
      </c>
      <c r="D60" s="7" t="str">
        <v>Ebook</v>
      </c>
      <c r="E60" s="7" t="str">
        <v>Purchase</v>
      </c>
      <c r="F60" s="7" t="str">
        <v>Amazon.com</v>
      </c>
      <c r="G60" s="7">
        <v>1</v>
      </c>
      <c r="H60" s="7">
        <v>0</v>
      </c>
      <c r="I60" s="7">
        <v>1</v>
      </c>
      <c r="J60" s="11">
        <v>0.35</v>
      </c>
      <c r="K60" s="9">
        <v>0.35</v>
      </c>
      <c r="L60" s="10"/>
      <c r="M60" s="10"/>
    </row>
    <row r="61" spans="1:13">
      <c r="A61" s="6">
        <v>45536</v>
      </c>
      <c r="B61" s="7" t="str">
        <v>Painting Celia</v>
      </c>
      <c r="C61" s="7" t="str">
        <v>Maya Bairey</v>
      </c>
      <c r="D61" s="7" t="str">
        <v>Paperback</v>
      </c>
      <c r="E61" s="7" t="str">
        <v>Purchase</v>
      </c>
      <c r="F61" s="7" t="str">
        <v>Amazon.com</v>
      </c>
      <c r="G61" s="7">
        <v>1</v>
      </c>
      <c r="H61" s="7">
        <v>0</v>
      </c>
      <c r="I61" s="7">
        <v>1</v>
      </c>
      <c r="J61" s="8">
        <v>0.6</v>
      </c>
      <c r="K61" s="9">
        <v>1.1100000000000001</v>
      </c>
      <c r="L61" s="10"/>
      <c r="M61" s="10"/>
    </row>
    <row r="62" spans="1:13">
      <c r="A62" s="6">
        <v>45536</v>
      </c>
      <c r="B62" s="7" t="str">
        <v>Painting Celia</v>
      </c>
      <c r="C62" s="7" t="str">
        <v>Maya Bairey</v>
      </c>
      <c r="D62" s="7" t="str">
        <v>Paperback</v>
      </c>
      <c r="E62" s="7" t="str">
        <v>Purchase</v>
      </c>
      <c r="F62" s="7" t="str">
        <v>Amazon.com</v>
      </c>
      <c r="G62" s="7">
        <v>10</v>
      </c>
      <c r="H62" s="7">
        <v>0</v>
      </c>
      <c r="I62" s="7">
        <v>10</v>
      </c>
      <c r="J62" s="8">
        <v>0.6</v>
      </c>
      <c r="K62" s="9">
        <v>11.1</v>
      </c>
      <c r="L62" s="10"/>
      <c r="M62" s="10"/>
    </row>
    <row r="63" spans="1:13">
      <c r="A63" s="6">
        <v>45536</v>
      </c>
      <c r="B63" s="7" t="str">
        <v>Painting Celia</v>
      </c>
      <c r="C63" s="7" t="str">
        <v>Maya Bairey</v>
      </c>
      <c r="D63" s="7" t="str">
        <v>Paperback</v>
      </c>
      <c r="E63" s="7" t="str">
        <v>Purchase</v>
      </c>
      <c r="F63" s="7" t="str">
        <v>Amazon.com</v>
      </c>
      <c r="G63" s="7">
        <v>1</v>
      </c>
      <c r="H63" s="7">
        <v>0</v>
      </c>
      <c r="I63" s="7">
        <v>1</v>
      </c>
      <c r="J63" s="11">
        <v>0.6</v>
      </c>
      <c r="K63" s="9">
        <v>1.1100000000000001</v>
      </c>
      <c r="L63" s="10"/>
      <c r="M63" s="10"/>
    </row>
    <row r="64" spans="1:13">
      <c r="A64" s="6">
        <v>45536</v>
      </c>
      <c r="B64" s="7" t="str">
        <v>Painting Celia</v>
      </c>
      <c r="C64" s="7" t="str">
        <v>Maya Bairey</v>
      </c>
      <c r="D64" s="7" t="str">
        <v>Ebook</v>
      </c>
      <c r="E64" s="7" t="str">
        <v>KENP</v>
      </c>
      <c r="F64" s="7" t="str">
        <v>Amazon.com</v>
      </c>
      <c r="G64" s="7">
        <v>951</v>
      </c>
      <c r="H64" s="7">
        <v>0</v>
      </c>
      <c r="I64" s="7">
        <v>0</v>
      </c>
      <c r="J64" s="8">
        <v>0</v>
      </c>
      <c r="K64" s="9">
        <v>4.1786940000000001</v>
      </c>
      <c r="L64" s="10"/>
      <c r="M64" s="10"/>
    </row>
    <row r="65" spans="1:13">
      <c r="A65" s="6">
        <v>45536</v>
      </c>
      <c r="B65" s="7" t="str">
        <v>Painting Celia</v>
      </c>
      <c r="C65" s="7" t="str">
        <v>Maya Bairey</v>
      </c>
      <c r="D65" s="7" t="str">
        <v>Paperback</v>
      </c>
      <c r="E65" s="7" t="str">
        <v>Purchase</v>
      </c>
      <c r="F65" s="7" t="str">
        <v>In person</v>
      </c>
      <c r="G65" s="7">
        <v>1</v>
      </c>
      <c r="H65" s="7">
        <v>0</v>
      </c>
      <c r="I65" s="7">
        <v>1</v>
      </c>
      <c r="J65" s="8">
        <v>1</v>
      </c>
      <c r="K65" s="9">
        <v>9.48</v>
      </c>
      <c r="L65" s="10"/>
      <c r="M65" s="10"/>
    </row>
    <row r="66" spans="1:13">
      <c r="A66" s="6">
        <v>45566</v>
      </c>
      <c r="B66" s="7" t="str">
        <v>Painting Celia</v>
      </c>
      <c r="C66" s="7" t="str">
        <v>Maya Bairey</v>
      </c>
      <c r="D66" s="7" t="str">
        <v>Ebook</v>
      </c>
      <c r="E66" s="7" t="str">
        <v>Purchase</v>
      </c>
      <c r="F66" s="7" t="str">
        <v>Amazon.com</v>
      </c>
      <c r="G66" s="7">
        <v>1</v>
      </c>
      <c r="H66" s="7">
        <v>0</v>
      </c>
      <c r="I66" s="7">
        <v>1</v>
      </c>
      <c r="J66" s="8">
        <v>0.35</v>
      </c>
      <c r="K66" s="9">
        <v>0.35</v>
      </c>
      <c r="L66" s="10"/>
      <c r="M66" s="10"/>
    </row>
    <row r="67" spans="1:13">
      <c r="A67" s="6">
        <v>45566</v>
      </c>
      <c r="B67" s="7" t="str">
        <v>Painting Celia</v>
      </c>
      <c r="C67" s="7" t="str">
        <v>Maya Bairey</v>
      </c>
      <c r="D67" s="7" t="str">
        <v>Ebook</v>
      </c>
      <c r="E67" s="7" t="str">
        <v>KENP</v>
      </c>
      <c r="F67" s="7" t="str">
        <v>Amazon.co.uk</v>
      </c>
      <c r="G67" s="7">
        <v>516</v>
      </c>
      <c r="H67" s="7">
        <v>0</v>
      </c>
      <c r="I67" s="7">
        <v>0</v>
      </c>
      <c r="J67" s="8">
        <v>0</v>
      </c>
      <c r="K67" s="9">
        <v>2.2673040000000002</v>
      </c>
      <c r="L67" s="10"/>
      <c r="M67" s="10"/>
    </row>
    <row r="68" spans="1:13">
      <c r="A68" s="6">
        <v>45566</v>
      </c>
      <c r="B68" s="7" t="str">
        <v>Painting Celia</v>
      </c>
      <c r="C68" s="7" t="str">
        <v>Maya Bairey</v>
      </c>
      <c r="D68" s="7" t="str">
        <v>Ebook</v>
      </c>
      <c r="E68" s="7" t="str">
        <v>KENP</v>
      </c>
      <c r="F68" s="7" t="str">
        <v>Amazon.com</v>
      </c>
      <c r="G68" s="7">
        <v>1614</v>
      </c>
      <c r="H68" s="7">
        <v>0</v>
      </c>
      <c r="I68" s="7">
        <v>0</v>
      </c>
      <c r="J68" s="8">
        <v>0</v>
      </c>
      <c r="K68" s="9">
        <v>7.0919160000000003</v>
      </c>
      <c r="L68" s="10"/>
      <c r="M68" s="10"/>
    </row>
    <row r="69" spans="1:13">
      <c r="A69" s="6">
        <v>45566</v>
      </c>
      <c r="B69" s="7" t="str">
        <v>Painting Celia</v>
      </c>
      <c r="C69" s="7" t="str">
        <v>Maya Bairey</v>
      </c>
      <c r="D69" s="7" t="str">
        <v>Paperback</v>
      </c>
      <c r="E69" s="7" t="str">
        <v>Purchase</v>
      </c>
      <c r="F69" s="7" t="str">
        <v>In person</v>
      </c>
      <c r="G69" s="7">
        <v>1</v>
      </c>
      <c r="H69" s="7">
        <v>0</v>
      </c>
      <c r="I69" s="7">
        <v>1</v>
      </c>
      <c r="J69" s="8">
        <v>1</v>
      </c>
      <c r="K69" s="9">
        <v>15</v>
      </c>
      <c r="L69" s="10"/>
      <c r="M69" s="10"/>
    </row>
    <row r="70" spans="1:13">
      <c r="A70" s="6">
        <v>45566</v>
      </c>
      <c r="B70" s="7" t="str">
        <v>Painting Celia</v>
      </c>
      <c r="C70" s="7" t="str">
        <v>Maya Bairey</v>
      </c>
      <c r="D70" s="7" t="str">
        <v>Paperback</v>
      </c>
      <c r="E70" s="7" t="str">
        <v>Purchase</v>
      </c>
      <c r="F70" s="7" t="str">
        <v>In person</v>
      </c>
      <c r="G70" s="7">
        <v>1</v>
      </c>
      <c r="H70" s="7">
        <v>0</v>
      </c>
      <c r="I70" s="7">
        <v>1</v>
      </c>
      <c r="J70" s="8">
        <v>1</v>
      </c>
      <c r="K70" s="9">
        <v>9.99</v>
      </c>
      <c r="L70" s="10"/>
      <c r="M70" s="10"/>
    </row>
    <row r="71" spans="1:13">
      <c r="A71" s="6">
        <v>45597</v>
      </c>
      <c r="B71" s="7" t="str">
        <v>Painting Celia</v>
      </c>
      <c r="C71" s="7" t="str">
        <v>Maya Bairey</v>
      </c>
      <c r="D71" s="7" t="str">
        <v>Ebook</v>
      </c>
      <c r="E71" s="7" t="str">
        <v>Purchase</v>
      </c>
      <c r="F71" s="7" t="str">
        <v>Amazon.com</v>
      </c>
      <c r="G71" s="7">
        <v>2</v>
      </c>
      <c r="H71" s="7">
        <v>0</v>
      </c>
      <c r="I71" s="7">
        <v>2</v>
      </c>
      <c r="J71" s="8">
        <v>0.35</v>
      </c>
      <c r="K71" s="9">
        <v>0.7</v>
      </c>
      <c r="L71" s="10"/>
      <c r="M71" s="10"/>
    </row>
    <row r="72" spans="1:13">
      <c r="A72" s="6">
        <v>45597</v>
      </c>
      <c r="B72" s="7" t="str">
        <v>Painting Celia</v>
      </c>
      <c r="C72" s="7" t="str">
        <v>Maya Bairey</v>
      </c>
      <c r="D72" s="7" t="str">
        <v>Ebook</v>
      </c>
      <c r="E72" s="7" t="str">
        <v>KENP</v>
      </c>
      <c r="F72" s="7" t="str">
        <v>Amazon.com</v>
      </c>
      <c r="G72" s="7">
        <v>20</v>
      </c>
      <c r="H72" s="7">
        <v>0</v>
      </c>
      <c r="I72" s="7">
        <v>0</v>
      </c>
      <c r="J72" s="8">
        <v>0</v>
      </c>
      <c r="K72" s="9">
        <v>8.7880000000000014E-2</v>
      </c>
      <c r="L72" s="10"/>
      <c r="M72" s="10"/>
    </row>
    <row r="73" spans="1:13">
      <c r="A73" s="6">
        <v>45597</v>
      </c>
      <c r="B73" s="7" t="str">
        <v>Painting Celia</v>
      </c>
      <c r="C73" s="7" t="str">
        <v>Maya Bairey</v>
      </c>
      <c r="D73" s="7" t="str">
        <v>Paperback</v>
      </c>
      <c r="E73" s="7" t="str">
        <v>Purchase</v>
      </c>
      <c r="F73" s="7" t="str">
        <v>In person</v>
      </c>
      <c r="G73" s="7">
        <v>1</v>
      </c>
      <c r="H73" s="7">
        <v>0</v>
      </c>
      <c r="I73" s="7">
        <v>1</v>
      </c>
      <c r="J73" s="8">
        <v>1</v>
      </c>
      <c r="K73" s="9">
        <v>15</v>
      </c>
      <c r="L73" s="10"/>
      <c r="M73" s="10"/>
    </row>
    <row r="74" spans="1:13">
      <c r="A74" s="6">
        <v>45597</v>
      </c>
      <c r="B74" s="7" t="str">
        <v>Painting Celia</v>
      </c>
      <c r="C74" s="7" t="str">
        <v>Maya Bairey</v>
      </c>
      <c r="D74" s="7" t="str">
        <v>Paperback</v>
      </c>
      <c r="E74" s="7" t="str">
        <v>Purchase</v>
      </c>
      <c r="F74" s="7" t="str">
        <v>In person</v>
      </c>
      <c r="G74" s="7">
        <v>1</v>
      </c>
      <c r="H74" s="7">
        <v>0</v>
      </c>
      <c r="I74" s="7">
        <v>1</v>
      </c>
      <c r="J74" s="8">
        <v>1</v>
      </c>
      <c r="K74" s="9">
        <v>15</v>
      </c>
      <c r="L74" s="10"/>
      <c r="M74" s="10"/>
    </row>
    <row r="75" spans="1:13">
      <c r="A75" s="6">
        <v>45597</v>
      </c>
      <c r="B75" s="7" t="str">
        <v>Painting Celia</v>
      </c>
      <c r="C75" s="7" t="str">
        <v>Maya Bairey</v>
      </c>
      <c r="D75" s="7" t="str">
        <v>Paperback</v>
      </c>
      <c r="E75" s="7" t="str">
        <v>Purchase</v>
      </c>
      <c r="F75" s="7" t="str">
        <v>In person</v>
      </c>
      <c r="G75" s="7">
        <v>1</v>
      </c>
      <c r="H75" s="7">
        <v>0</v>
      </c>
      <c r="I75" s="7">
        <v>1</v>
      </c>
      <c r="J75" s="8">
        <v>1</v>
      </c>
      <c r="K75" s="9">
        <v>15</v>
      </c>
      <c r="L75" s="10"/>
      <c r="M75" s="10"/>
    </row>
    <row r="76" spans="1:13">
      <c r="A76" s="6">
        <v>45597</v>
      </c>
      <c r="B76" s="7" t="str">
        <v>Painting Celia</v>
      </c>
      <c r="C76" s="7" t="str">
        <v>Maya Bairey</v>
      </c>
      <c r="D76" s="7" t="str">
        <v>Paperback</v>
      </c>
      <c r="E76" s="7" t="str">
        <v>Purchase</v>
      </c>
      <c r="F76" s="7" t="str">
        <v>In person</v>
      </c>
      <c r="G76" s="7">
        <v>1</v>
      </c>
      <c r="H76" s="7">
        <v>0</v>
      </c>
      <c r="I76" s="7">
        <v>1</v>
      </c>
      <c r="J76" s="8">
        <v>1</v>
      </c>
      <c r="K76" s="9">
        <v>15</v>
      </c>
      <c r="L76" s="10"/>
      <c r="M76" s="10"/>
    </row>
    <row r="77" spans="1:13">
      <c r="A77" s="6">
        <v>45597</v>
      </c>
      <c r="B77" s="7" t="str">
        <v>Painting Celia</v>
      </c>
      <c r="C77" s="7" t="str">
        <v>Maya Bairey</v>
      </c>
      <c r="D77" s="7" t="str">
        <v>Paperback</v>
      </c>
      <c r="E77" s="7" t="str">
        <v>Purchase</v>
      </c>
      <c r="F77" s="7" t="str">
        <v>In person</v>
      </c>
      <c r="G77" s="7">
        <v>1</v>
      </c>
      <c r="H77" s="7">
        <v>0</v>
      </c>
      <c r="I77" s="7">
        <v>1</v>
      </c>
      <c r="J77" s="8">
        <v>1</v>
      </c>
      <c r="K77" s="9">
        <v>15</v>
      </c>
      <c r="L77" s="10"/>
      <c r="M77" s="10"/>
    </row>
    <row r="78" spans="1:13">
      <c r="A78" s="6">
        <v>45626</v>
      </c>
      <c r="B78" s="7" t="str">
        <v>Painting Celia</v>
      </c>
      <c r="C78" s="7" t="str">
        <v>Maya Bairey</v>
      </c>
      <c r="D78" s="7" t="str">
        <v>Paperback</v>
      </c>
      <c r="E78" s="7" t="str">
        <v>Purchase</v>
      </c>
      <c r="F78" s="7" t="str">
        <v>In person</v>
      </c>
      <c r="G78" s="7">
        <v>1</v>
      </c>
      <c r="H78" s="7">
        <v>0</v>
      </c>
      <c r="I78" s="7">
        <v>1</v>
      </c>
      <c r="J78" s="8">
        <v>1</v>
      </c>
      <c r="K78" s="9">
        <v>15</v>
      </c>
      <c r="L78" s="10"/>
      <c r="M78" s="10"/>
    </row>
    <row r="79" spans="1:13">
      <c r="A79" s="6">
        <v>45627</v>
      </c>
      <c r="B79" s="7" t="str">
        <v>Painting Celia</v>
      </c>
      <c r="C79" s="7" t="str">
        <v>Maya Bairey</v>
      </c>
      <c r="D79" s="7" t="str">
        <v>Ebook</v>
      </c>
      <c r="E79" s="7" t="str">
        <v>Free promo</v>
      </c>
      <c r="F79" s="7" t="str">
        <v>Amazon.com</v>
      </c>
      <c r="G79" s="7">
        <v>49</v>
      </c>
      <c r="H79" s="7">
        <v>0</v>
      </c>
      <c r="I79" s="7">
        <v>49</v>
      </c>
      <c r="J79" s="8">
        <v>0.35</v>
      </c>
      <c r="K79" s="9">
        <v>0</v>
      </c>
      <c r="L79" s="10"/>
      <c r="M79" s="10"/>
    </row>
    <row r="80" spans="1:13">
      <c r="A80" s="6">
        <v>45627</v>
      </c>
      <c r="B80" s="7" t="str">
        <v>Painting Celia</v>
      </c>
      <c r="C80" s="7" t="str">
        <v>Maya Bairey</v>
      </c>
      <c r="D80" s="7" t="str">
        <v>Ebook</v>
      </c>
      <c r="E80" s="7" t="str">
        <v>Free promo</v>
      </c>
      <c r="F80" s="7" t="str">
        <v>Amazon.com</v>
      </c>
      <c r="G80" s="7">
        <v>1</v>
      </c>
      <c r="H80" s="7">
        <v>0</v>
      </c>
      <c r="I80" s="7">
        <v>1</v>
      </c>
      <c r="J80" s="8">
        <v>0.35</v>
      </c>
      <c r="K80" s="9">
        <v>0</v>
      </c>
      <c r="L80" s="10"/>
      <c r="M80" s="10"/>
    </row>
    <row r="81" spans="1:13">
      <c r="A81" s="6">
        <v>45627</v>
      </c>
      <c r="B81" s="7" t="str">
        <v>Painting Celia</v>
      </c>
      <c r="C81" s="7" t="str">
        <v>Maya Bairey</v>
      </c>
      <c r="D81" s="7" t="str">
        <v>Ebook</v>
      </c>
      <c r="E81" s="7" t="str">
        <v>Free promo</v>
      </c>
      <c r="F81" s="7" t="str">
        <v>Amazon.com</v>
      </c>
      <c r="G81" s="7">
        <v>1</v>
      </c>
      <c r="H81" s="7">
        <v>0</v>
      </c>
      <c r="I81" s="7">
        <v>1</v>
      </c>
      <c r="J81" s="8">
        <v>0.35</v>
      </c>
      <c r="K81" s="9">
        <v>0</v>
      </c>
      <c r="L81" s="10"/>
      <c r="M81" s="10"/>
    </row>
    <row r="82" spans="1:13">
      <c r="A82" s="6">
        <v>45627</v>
      </c>
      <c r="B82" s="7" t="str">
        <v>Painting Celia</v>
      </c>
      <c r="C82" s="7" t="str">
        <v>Maya Bairey</v>
      </c>
      <c r="D82" s="7" t="str">
        <v>Ebook</v>
      </c>
      <c r="E82" s="7" t="str">
        <v>Purchase</v>
      </c>
      <c r="F82" s="7" t="str">
        <v>Amazon.com</v>
      </c>
      <c r="G82" s="7">
        <v>1</v>
      </c>
      <c r="H82" s="7">
        <v>0</v>
      </c>
      <c r="I82" s="7">
        <v>1</v>
      </c>
      <c r="J82" s="8">
        <v>0.35</v>
      </c>
      <c r="K82" s="9">
        <v>0.35</v>
      </c>
      <c r="L82" s="10"/>
      <c r="M82" s="10"/>
    </row>
    <row r="83" spans="1:13">
      <c r="A83" s="6">
        <v>45627</v>
      </c>
      <c r="B83" s="7" t="str">
        <v>Painting Celia</v>
      </c>
      <c r="C83" s="7" t="str">
        <v>Maya Bairey</v>
      </c>
      <c r="D83" s="7" t="str">
        <v>Ebook</v>
      </c>
      <c r="E83" s="7" t="str">
        <v>Free promo</v>
      </c>
      <c r="F83" s="7" t="str">
        <v>Amazon.co.uk</v>
      </c>
      <c r="G83" s="7">
        <v>3</v>
      </c>
      <c r="H83" s="7">
        <v>0</v>
      </c>
      <c r="I83" s="7">
        <v>3</v>
      </c>
      <c r="J83" s="8">
        <v>0.35</v>
      </c>
      <c r="K83" s="9">
        <v>0</v>
      </c>
      <c r="L83" s="10"/>
      <c r="M83" s="10"/>
    </row>
    <row r="84" spans="1:13">
      <c r="A84" s="6">
        <v>45627</v>
      </c>
      <c r="B84" s="7" t="str">
        <v>Painting Celia</v>
      </c>
      <c r="C84" s="7" t="str">
        <v>Maya Bairey</v>
      </c>
      <c r="D84" s="7" t="str">
        <v>Ebook</v>
      </c>
      <c r="E84" s="7" t="str">
        <v>Purchase</v>
      </c>
      <c r="F84" s="7" t="str">
        <v>Amazon.co.uk</v>
      </c>
      <c r="G84" s="7">
        <v>1</v>
      </c>
      <c r="H84" s="7">
        <v>0</v>
      </c>
      <c r="I84" s="7">
        <v>1</v>
      </c>
      <c r="J84" s="8">
        <v>0.35</v>
      </c>
      <c r="K84" s="9">
        <v>0.27</v>
      </c>
      <c r="L84" s="10"/>
      <c r="M84" s="10"/>
    </row>
    <row r="85" spans="1:13">
      <c r="A85" s="6">
        <v>45627</v>
      </c>
      <c r="B85" s="7" t="str">
        <v>Painting Celia</v>
      </c>
      <c r="C85" s="7" t="str">
        <v>Maya Bairey</v>
      </c>
      <c r="D85" s="7" t="str">
        <v>Ebook</v>
      </c>
      <c r="E85" s="7" t="str">
        <v>Free promo</v>
      </c>
      <c r="F85" s="7" t="str">
        <v>Amazon.de</v>
      </c>
      <c r="G85" s="7">
        <v>1</v>
      </c>
      <c r="H85" s="7">
        <v>0</v>
      </c>
      <c r="I85" s="7">
        <v>1</v>
      </c>
      <c r="J85" s="8">
        <v>0.35</v>
      </c>
      <c r="K85" s="9">
        <v>0</v>
      </c>
      <c r="L85" s="10"/>
      <c r="M85" s="10"/>
    </row>
    <row r="86" spans="1:13">
      <c r="A86" s="6">
        <v>45627</v>
      </c>
      <c r="B86" s="7" t="str">
        <v>Painting Celia</v>
      </c>
      <c r="C86" s="7" t="str">
        <v>Maya Bairey</v>
      </c>
      <c r="D86" s="7" t="str">
        <v>Ebook</v>
      </c>
      <c r="E86" s="7" t="str">
        <v>Free promo</v>
      </c>
      <c r="F86" s="7" t="str">
        <v>Amazon.ca</v>
      </c>
      <c r="G86" s="7">
        <v>5</v>
      </c>
      <c r="H86" s="7">
        <v>0</v>
      </c>
      <c r="I86" s="7">
        <v>5</v>
      </c>
      <c r="J86" s="11">
        <v>0.35</v>
      </c>
      <c r="K86" s="9">
        <v>0</v>
      </c>
      <c r="L86" s="10"/>
      <c r="M86" s="10"/>
    </row>
    <row r="87" spans="1:13">
      <c r="A87" s="6">
        <v>45627</v>
      </c>
      <c r="B87" s="7" t="str">
        <v>Painting Celia</v>
      </c>
      <c r="C87" s="7" t="str">
        <v>Maya Bairey</v>
      </c>
      <c r="D87" s="7" t="str">
        <v>Ebook</v>
      </c>
      <c r="E87" s="7" t="str">
        <v>KENP</v>
      </c>
      <c r="F87" s="7" t="str">
        <v>Amazon.com</v>
      </c>
      <c r="G87" s="7">
        <v>524</v>
      </c>
      <c r="H87" s="7">
        <v>0</v>
      </c>
      <c r="I87" s="7">
        <v>0</v>
      </c>
      <c r="J87" s="11">
        <v>0</v>
      </c>
      <c r="K87" s="9">
        <v>2.3024560000000003</v>
      </c>
      <c r="L87" s="10"/>
      <c r="M87" s="10"/>
    </row>
    <row r="88" spans="1:13">
      <c r="A88" s="6">
        <v>45627</v>
      </c>
      <c r="B88" s="7" t="str">
        <v>Painting Celia</v>
      </c>
      <c r="C88" s="7" t="str">
        <v>Maya Bairey</v>
      </c>
      <c r="D88" s="7" t="str">
        <v>Ebook</v>
      </c>
      <c r="E88" s="7" t="str">
        <v>KENP</v>
      </c>
      <c r="F88" s="7" t="str">
        <v>Amazon.com.au</v>
      </c>
      <c r="G88" s="7">
        <v>37</v>
      </c>
      <c r="H88" s="7">
        <v>0</v>
      </c>
      <c r="I88" s="7">
        <v>0</v>
      </c>
      <c r="J88" s="11">
        <v>0</v>
      </c>
      <c r="K88" s="9">
        <v>0.162578</v>
      </c>
    </row>
    <row r="89" spans="1:13">
      <c r="A89" s="6">
        <v>45658</v>
      </c>
      <c r="B89" s="7" t="str">
        <v>Painting Celia</v>
      </c>
      <c r="C89" s="7" t="str">
        <v>Maya Bairey</v>
      </c>
      <c r="D89" s="7" t="str">
        <v>Ebook</v>
      </c>
      <c r="E89" s="7" t="str">
        <v>KENP</v>
      </c>
      <c r="F89" s="7" t="str">
        <v>Amazon.com</v>
      </c>
      <c r="G89" s="7">
        <v>1</v>
      </c>
      <c r="H89" s="7">
        <v>0</v>
      </c>
      <c r="I89" s="7">
        <v>0</v>
      </c>
      <c r="J89" s="8">
        <v>0</v>
      </c>
      <c r="K89" s="9">
        <v>4.3940000000000003E-3</v>
      </c>
    </row>
    <row r="90" spans="1:13">
      <c r="A90" s="6">
        <v>45689</v>
      </c>
      <c r="B90" s="7" t="str">
        <v>Painting Celia</v>
      </c>
      <c r="C90" s="7" t="str">
        <v>Maya Bairey</v>
      </c>
      <c r="D90" s="7" t="str">
        <v>Paperback</v>
      </c>
      <c r="E90" s="7" t="str">
        <v>Purchase</v>
      </c>
      <c r="F90" s="7" t="str">
        <v>Amazon.com</v>
      </c>
      <c r="G90" s="7">
        <v>1</v>
      </c>
      <c r="H90" s="7">
        <v>0</v>
      </c>
      <c r="I90" s="7">
        <v>1</v>
      </c>
      <c r="J90" s="8">
        <v>0.6</v>
      </c>
      <c r="K90" s="9">
        <v>1.55</v>
      </c>
    </row>
    <row r="91" spans="1:13">
      <c r="A91" s="6">
        <v>45689</v>
      </c>
      <c r="B91" s="7" t="str">
        <v>Painting Celia</v>
      </c>
      <c r="C91" s="7" t="str">
        <v>Maya Bairey</v>
      </c>
      <c r="D91" s="7" t="str">
        <v>Paperback</v>
      </c>
      <c r="E91" s="7" t="str">
        <v>Purchase</v>
      </c>
      <c r="F91" s="7" t="str">
        <v>Amazon.com</v>
      </c>
      <c r="G91" s="7">
        <v>1</v>
      </c>
      <c r="H91" s="7">
        <v>0</v>
      </c>
      <c r="I91" s="7">
        <v>1</v>
      </c>
      <c r="J91" s="8">
        <v>0.6</v>
      </c>
      <c r="K91" s="9">
        <v>1.55</v>
      </c>
    </row>
    <row r="92" spans="1:13">
      <c r="A92" s="6">
        <v>45689</v>
      </c>
      <c r="B92" s="7" t="str">
        <v>Painting Celia</v>
      </c>
      <c r="C92" s="7" t="str">
        <v>Maya Bairey</v>
      </c>
      <c r="D92" s="7" t="str">
        <v>Ebook</v>
      </c>
      <c r="E92" s="7" t="str">
        <v>KENP</v>
      </c>
      <c r="F92" s="7" t="str">
        <v>Amazon.com</v>
      </c>
      <c r="G92" s="7">
        <v>2</v>
      </c>
      <c r="H92" s="7">
        <v>0</v>
      </c>
      <c r="I92" s="7">
        <v>0</v>
      </c>
      <c r="J92" s="11">
        <v>0</v>
      </c>
      <c r="K92" s="9">
        <v>8.7880000000000007E-3</v>
      </c>
    </row>
    <row r="93" spans="1:13">
      <c r="A93" s="6">
        <v>45717</v>
      </c>
      <c r="B93" s="7" t="str">
        <v>Painting Celia</v>
      </c>
      <c r="C93" s="7" t="str">
        <v>Maya Bairey</v>
      </c>
      <c r="D93" s="7" t="str">
        <v>Ebook</v>
      </c>
      <c r="E93" s="7" t="str">
        <v>Free promo</v>
      </c>
      <c r="F93" s="7" t="str">
        <v>Amazon.co.uk</v>
      </c>
      <c r="G93" s="7">
        <v>1</v>
      </c>
      <c r="H93" s="7">
        <v>0</v>
      </c>
      <c r="I93" s="7">
        <v>1</v>
      </c>
      <c r="J93" s="11">
        <v>0.7</v>
      </c>
      <c r="K93" s="9">
        <v>0</v>
      </c>
    </row>
    <row r="94" spans="1:13">
      <c r="A94" s="6">
        <v>45717</v>
      </c>
      <c r="B94" s="7" t="str">
        <v>Painting Celia</v>
      </c>
      <c r="C94" s="7" t="str">
        <v>Maya Bairey</v>
      </c>
      <c r="D94" s="7" t="str">
        <v>Paperback</v>
      </c>
      <c r="E94" s="7" t="str">
        <v>Purchase</v>
      </c>
      <c r="F94" s="7" t="str">
        <v>Amazon.com</v>
      </c>
      <c r="G94" s="7">
        <v>1</v>
      </c>
      <c r="H94" s="7">
        <v>0</v>
      </c>
      <c r="I94" s="7">
        <v>1</v>
      </c>
      <c r="J94" s="11">
        <v>0.6</v>
      </c>
      <c r="K94" s="9">
        <v>1.1100000000000001</v>
      </c>
    </row>
    <row r="95" spans="1:13">
      <c r="A95" s="6">
        <v>45717</v>
      </c>
      <c r="B95" s="7" t="str">
        <v>Painting Celia</v>
      </c>
      <c r="C95" s="7" t="str">
        <v>Maya Bairey</v>
      </c>
      <c r="D95" s="7" t="str">
        <v>Paperback</v>
      </c>
      <c r="E95" s="7" t="str">
        <v>Purchase</v>
      </c>
      <c r="F95" s="7" t="str">
        <v>Amazon.com</v>
      </c>
      <c r="G95" s="7">
        <v>1</v>
      </c>
      <c r="H95" s="7">
        <v>0</v>
      </c>
      <c r="I95" s="7">
        <v>1</v>
      </c>
      <c r="J95" s="8">
        <v>0.6</v>
      </c>
      <c r="K95" s="9">
        <v>1.1100000000000001</v>
      </c>
    </row>
    <row r="96" spans="1:13">
      <c r="A96" s="6">
        <v>45717</v>
      </c>
      <c r="B96" s="7" t="str">
        <v>Painting Celia</v>
      </c>
      <c r="C96" s="7" t="str">
        <v>Maya Bairey</v>
      </c>
      <c r="D96" s="7" t="str">
        <v>Paperback</v>
      </c>
      <c r="E96" s="7" t="str">
        <v>Purchase</v>
      </c>
      <c r="F96" s="7" t="str">
        <v>In person</v>
      </c>
      <c r="G96" s="7">
        <v>1</v>
      </c>
      <c r="H96" s="7">
        <v>0</v>
      </c>
      <c r="I96" s="7">
        <v>1</v>
      </c>
      <c r="J96" s="8">
        <v>1</v>
      </c>
      <c r="K96" s="9">
        <v>15</v>
      </c>
    </row>
    <row r="97" spans="1:11">
      <c r="A97" s="6">
        <v>45717</v>
      </c>
      <c r="B97" s="7" t="str">
        <v>Painting Celia</v>
      </c>
      <c r="C97" s="7" t="str">
        <v>Maya Bairey</v>
      </c>
      <c r="D97" s="7" t="str">
        <v>Paperback</v>
      </c>
      <c r="E97" s="7" t="str">
        <v>Purchase</v>
      </c>
      <c r="F97" s="7" t="str">
        <v>In person</v>
      </c>
      <c r="G97" s="7">
        <v>1</v>
      </c>
      <c r="H97" s="7">
        <v>0</v>
      </c>
      <c r="I97" s="7">
        <v>1</v>
      </c>
      <c r="J97" s="8">
        <v>1</v>
      </c>
      <c r="K97" s="9">
        <v>15</v>
      </c>
    </row>
    <row r="98" spans="1:11">
      <c r="A98" s="6">
        <v>45717</v>
      </c>
      <c r="B98" s="7" t="str">
        <v>Painting Celia</v>
      </c>
      <c r="C98" s="7" t="str">
        <v>Maya Bairey</v>
      </c>
      <c r="D98" s="7" t="str">
        <v>Paperback</v>
      </c>
      <c r="E98" s="7" t="str">
        <v>Purchase</v>
      </c>
      <c r="F98" s="7" t="str">
        <v>In person</v>
      </c>
      <c r="G98" s="7">
        <v>1</v>
      </c>
      <c r="H98" s="7">
        <v>0</v>
      </c>
      <c r="I98" s="7">
        <v>1</v>
      </c>
      <c r="J98" s="8">
        <v>1</v>
      </c>
      <c r="K98" s="9">
        <v>15</v>
      </c>
    </row>
    <row r="99" spans="1:11">
      <c r="A99" s="6">
        <v>45717</v>
      </c>
      <c r="B99" s="7" t="str">
        <v>Painting Celia</v>
      </c>
      <c r="C99" s="7" t="str">
        <v>Maya Bairey</v>
      </c>
      <c r="D99" s="7" t="str">
        <v>Ebook</v>
      </c>
      <c r="E99" s="7" t="str">
        <v>Free promo</v>
      </c>
      <c r="F99" s="7" t="str">
        <v>Amazon.com</v>
      </c>
      <c r="G99" s="7">
        <v>2</v>
      </c>
      <c r="H99" s="7">
        <v>0</v>
      </c>
      <c r="I99" s="7">
        <v>2</v>
      </c>
      <c r="J99" s="8">
        <v>0.35</v>
      </c>
      <c r="K99" s="9">
        <v>0</v>
      </c>
    </row>
    <row r="100" spans="1:11">
      <c r="A100" s="6">
        <v>45717</v>
      </c>
      <c r="B100" s="7" t="str">
        <v>Painting Celia</v>
      </c>
      <c r="C100" s="7" t="str">
        <v>Maya Bairey</v>
      </c>
      <c r="D100" s="7" t="str">
        <v>Ebook</v>
      </c>
      <c r="E100" s="7" t="str">
        <v>Purchase</v>
      </c>
      <c r="F100" s="7" t="str">
        <v>Amazon.com</v>
      </c>
      <c r="G100" s="7">
        <v>2</v>
      </c>
      <c r="H100" s="7">
        <v>0</v>
      </c>
      <c r="I100" s="7">
        <v>2</v>
      </c>
      <c r="J100" s="11">
        <v>0.35</v>
      </c>
      <c r="K100" s="9">
        <v>0.7</v>
      </c>
    </row>
    <row r="101" spans="1:11">
      <c r="A101" s="6">
        <v>45717</v>
      </c>
      <c r="B101" s="7" t="str">
        <v>Painting Celia</v>
      </c>
      <c r="C101" s="7" t="str">
        <v>Maya Bairey</v>
      </c>
      <c r="D101" s="7" t="str">
        <v>Ebook</v>
      </c>
      <c r="E101" s="7" t="str">
        <v>Free promo</v>
      </c>
      <c r="F101" s="7" t="str">
        <v>Amazon.com</v>
      </c>
      <c r="G101" s="7">
        <v>9</v>
      </c>
      <c r="H101" s="7">
        <v>0</v>
      </c>
      <c r="I101" s="7">
        <v>9</v>
      </c>
      <c r="J101" s="8">
        <v>0.7</v>
      </c>
      <c r="K101" s="9">
        <v>0</v>
      </c>
    </row>
    <row r="102" spans="1:11">
      <c r="A102" s="6">
        <v>45717</v>
      </c>
      <c r="B102" s="7" t="str">
        <v>Painting Celia</v>
      </c>
      <c r="C102" s="7" t="str">
        <v>Maya Bairey</v>
      </c>
      <c r="D102" s="7" t="str">
        <v>Ebook</v>
      </c>
      <c r="E102" s="7" t="str">
        <v>Free promo</v>
      </c>
      <c r="F102" s="7" t="str">
        <v>Amazon.ca</v>
      </c>
      <c r="G102" s="7">
        <v>471</v>
      </c>
      <c r="H102" s="7">
        <v>0</v>
      </c>
      <c r="I102" s="7">
        <v>0</v>
      </c>
      <c r="J102" s="8">
        <v>0</v>
      </c>
      <c r="K102" s="9">
        <v>0</v>
      </c>
    </row>
    <row r="103" spans="1:11">
      <c r="A103" s="6">
        <v>45717</v>
      </c>
      <c r="B103" s="7" t="str">
        <v>Painting Celia</v>
      </c>
      <c r="C103" s="7" t="str">
        <v>Maya Bairey</v>
      </c>
      <c r="D103" s="7" t="str">
        <v>Ebook</v>
      </c>
      <c r="E103" s="7" t="str">
        <v>Free promo</v>
      </c>
      <c r="F103" s="7" t="str">
        <v>Amazon.com</v>
      </c>
      <c r="G103" s="7">
        <v>514</v>
      </c>
      <c r="H103" s="7">
        <v>0</v>
      </c>
      <c r="I103" s="7">
        <v>0</v>
      </c>
      <c r="J103" s="8">
        <v>0</v>
      </c>
      <c r="K103" s="9">
        <v>0</v>
      </c>
    </row>
    <row r="104" spans="1:11">
      <c r="A104" s="6">
        <v>45731</v>
      </c>
      <c r="B104" s="7" t="str">
        <v>Painting Celia</v>
      </c>
      <c r="C104" s="7" t="str">
        <v>Maya Bairey</v>
      </c>
      <c r="D104" s="7" t="str">
        <v>Paperback</v>
      </c>
      <c r="E104" s="7" t="str">
        <v>Purchase</v>
      </c>
      <c r="F104" s="7" t="str">
        <v>In person</v>
      </c>
      <c r="G104" s="7">
        <v>1</v>
      </c>
      <c r="H104" s="7">
        <v>0</v>
      </c>
      <c r="I104" s="7">
        <v>1</v>
      </c>
      <c r="J104" s="8">
        <v>1</v>
      </c>
      <c r="K104" s="9">
        <v>15</v>
      </c>
    </row>
    <row r="105" spans="1:11">
      <c r="A105" s="6">
        <v>45731</v>
      </c>
      <c r="B105" s="7" t="str">
        <v>Painting Celia</v>
      </c>
      <c r="C105" s="7" t="str">
        <v>Maya Bairey</v>
      </c>
      <c r="D105" s="7" t="str">
        <v>Paperback</v>
      </c>
      <c r="E105" s="7" t="str">
        <v>Purchase</v>
      </c>
      <c r="F105" s="7" t="str">
        <v>In person</v>
      </c>
      <c r="G105" s="7">
        <v>1</v>
      </c>
      <c r="H105" s="7">
        <v>0</v>
      </c>
      <c r="I105" s="7">
        <v>1</v>
      </c>
      <c r="J105" s="8">
        <v>1</v>
      </c>
      <c r="K105" s="9">
        <v>15</v>
      </c>
    </row>
    <row r="106" spans="1:11">
      <c r="A106" s="6">
        <v>45731</v>
      </c>
      <c r="B106" s="7" t="str">
        <v>Painting Celia</v>
      </c>
      <c r="C106" s="7" t="str">
        <v>Maya Bairey</v>
      </c>
      <c r="D106" s="7" t="str">
        <v>Paperback</v>
      </c>
      <c r="E106" s="7" t="str">
        <v>Purchase</v>
      </c>
      <c r="F106" s="7" t="str">
        <v>In person</v>
      </c>
      <c r="G106" s="7">
        <v>1</v>
      </c>
      <c r="H106" s="7">
        <v>0</v>
      </c>
      <c r="I106" s="7">
        <v>1</v>
      </c>
      <c r="J106" s="8">
        <v>1</v>
      </c>
      <c r="K106" s="9">
        <v>15</v>
      </c>
    </row>
    <row r="107" spans="1:11">
      <c r="A107" s="6">
        <v>45731</v>
      </c>
      <c r="B107" s="7" t="str">
        <v>Painting Celia</v>
      </c>
      <c r="C107" s="7" t="str">
        <v>Maya Bairey</v>
      </c>
      <c r="D107" s="7" t="str">
        <v>Paperback</v>
      </c>
      <c r="E107" s="7" t="str">
        <v>Purchase</v>
      </c>
      <c r="F107" s="7" t="str">
        <v>In person</v>
      </c>
      <c r="G107" s="7">
        <v>1</v>
      </c>
      <c r="H107" s="7">
        <v>0</v>
      </c>
      <c r="I107" s="7">
        <v>1</v>
      </c>
      <c r="J107" s="8">
        <v>1</v>
      </c>
      <c r="K107" s="9">
        <v>15</v>
      </c>
    </row>
    <row r="108" spans="1:11">
      <c r="A108" s="6">
        <v>45731</v>
      </c>
      <c r="B108" s="7" t="str">
        <v>Painting Celia</v>
      </c>
      <c r="C108" s="7" t="str">
        <v>Maya Bairey</v>
      </c>
      <c r="D108" s="7" t="str">
        <v>Paperback</v>
      </c>
      <c r="E108" s="7" t="str">
        <v>Purchase</v>
      </c>
      <c r="F108" s="7" t="str">
        <v>In person</v>
      </c>
      <c r="G108" s="7">
        <v>1</v>
      </c>
      <c r="H108" s="7">
        <v>0</v>
      </c>
      <c r="I108" s="7">
        <v>1</v>
      </c>
      <c r="J108" s="8">
        <v>1</v>
      </c>
      <c r="K108" s="9">
        <v>15</v>
      </c>
    </row>
    <row r="109" spans="1:11">
      <c r="A109" s="6">
        <v>45748</v>
      </c>
      <c r="B109" s="7" t="str">
        <v>Painting Celia</v>
      </c>
      <c r="C109" s="7" t="str">
        <v>Maya Bairey</v>
      </c>
      <c r="D109" s="7" t="str">
        <v>Ebook</v>
      </c>
      <c r="E109" s="7" t="str">
        <v>Free promo</v>
      </c>
      <c r="F109" s="7" t="str">
        <v>Amazon.com</v>
      </c>
      <c r="G109" s="7">
        <v>1</v>
      </c>
      <c r="H109" s="7">
        <v>0</v>
      </c>
      <c r="I109" s="7">
        <v>0</v>
      </c>
      <c r="J109" s="8">
        <v>0.7</v>
      </c>
      <c r="K109" s="9">
        <v>0</v>
      </c>
    </row>
    <row r="110" spans="1:11">
      <c r="A110" s="6">
        <v>45748</v>
      </c>
      <c r="B110" s="7" t="str">
        <v>Painting Celia</v>
      </c>
      <c r="C110" s="7" t="str">
        <v>Maya Bairey</v>
      </c>
      <c r="D110" s="7" t="str">
        <v>Ebook</v>
      </c>
      <c r="E110" s="7" t="str">
        <v>Free promo</v>
      </c>
      <c r="F110" s="7" t="str">
        <v>Amazon.com</v>
      </c>
      <c r="G110" s="7">
        <v>1</v>
      </c>
      <c r="H110" s="7">
        <v>0</v>
      </c>
      <c r="I110" s="7">
        <v>0</v>
      </c>
      <c r="J110" s="8">
        <v>0.7</v>
      </c>
      <c r="K110" s="9">
        <v>0</v>
      </c>
    </row>
    <row r="111" spans="1:11">
      <c r="A111" s="6">
        <v>45748</v>
      </c>
      <c r="B111" s="7" t="str">
        <v>Painting Celia</v>
      </c>
      <c r="C111" s="7" t="str">
        <v>Maya Bairey</v>
      </c>
      <c r="D111" s="7" t="str">
        <v>Ebook</v>
      </c>
      <c r="E111" s="7" t="str">
        <v>Free promo</v>
      </c>
      <c r="F111" s="7" t="str">
        <v>Amazon.com</v>
      </c>
      <c r="G111" s="7">
        <v>1</v>
      </c>
      <c r="H111" s="7">
        <v>0</v>
      </c>
      <c r="I111" s="7">
        <v>0</v>
      </c>
      <c r="J111" s="8">
        <v>0.7</v>
      </c>
      <c r="K111" s="9">
        <v>0</v>
      </c>
    </row>
    <row r="112" spans="1:11">
      <c r="A112" s="6">
        <v>45748</v>
      </c>
      <c r="B112" s="7" t="str">
        <v>Painting Celia</v>
      </c>
      <c r="C112" s="7" t="str">
        <v>Maya Bairey</v>
      </c>
      <c r="D112" s="7" t="str">
        <v>Ebook</v>
      </c>
      <c r="E112" s="7" t="str">
        <v>Free promo</v>
      </c>
      <c r="F112" s="7" t="str">
        <v>Amazon.com</v>
      </c>
      <c r="G112" s="7">
        <v>1</v>
      </c>
      <c r="H112" s="7">
        <v>0</v>
      </c>
      <c r="I112" s="7">
        <v>0</v>
      </c>
      <c r="J112" s="11">
        <v>0.7</v>
      </c>
      <c r="K112" s="9">
        <v>0</v>
      </c>
    </row>
    <row r="113" spans="1:11">
      <c r="A113" s="6">
        <v>45748</v>
      </c>
      <c r="B113" s="7" t="str">
        <v>Painting Celia</v>
      </c>
      <c r="C113" s="7" t="str">
        <v>Maya Bairey</v>
      </c>
      <c r="D113" s="7" t="str">
        <v>Ebook</v>
      </c>
      <c r="E113" s="7" t="str">
        <v>Free promo</v>
      </c>
      <c r="F113" s="7" t="str">
        <v>Amazon.com</v>
      </c>
      <c r="G113" s="7">
        <v>1</v>
      </c>
      <c r="H113" s="7">
        <v>0</v>
      </c>
      <c r="I113" s="7">
        <v>0</v>
      </c>
      <c r="J113" s="7">
        <v>0.7</v>
      </c>
      <c r="K113" s="7">
        <v>0</v>
      </c>
    </row>
    <row r="114" spans="1:11">
      <c r="A114" s="6">
        <v>45748</v>
      </c>
      <c r="B114" s="7" t="str">
        <v>Painting Celia</v>
      </c>
      <c r="C114" s="7" t="str">
        <v>Maya Bairey</v>
      </c>
      <c r="D114" s="7" t="str">
        <v>Ebook</v>
      </c>
      <c r="E114" s="7" t="str">
        <v>Free promo</v>
      </c>
      <c r="F114" s="7" t="str">
        <v>Amazon.com</v>
      </c>
      <c r="G114" s="7">
        <v>1</v>
      </c>
      <c r="H114" s="7">
        <v>0</v>
      </c>
      <c r="I114" s="7">
        <v>0</v>
      </c>
      <c r="J114" s="7">
        <v>0.35</v>
      </c>
      <c r="K114" s="7">
        <v>0</v>
      </c>
    </row>
    <row r="115" spans="1:11">
      <c r="A115" s="6">
        <v>45748</v>
      </c>
      <c r="B115" s="7" t="str">
        <v>Painting Celia</v>
      </c>
      <c r="C115" s="7" t="str">
        <v>Maya Bairey</v>
      </c>
      <c r="D115" s="7" t="str">
        <v>Ebook</v>
      </c>
      <c r="E115" s="7" t="str">
        <v>Free promo</v>
      </c>
      <c r="F115" s="7" t="str">
        <v>Amazon.de</v>
      </c>
      <c r="G115" s="7">
        <v>1</v>
      </c>
      <c r="H115" s="7">
        <v>0</v>
      </c>
      <c r="I115" s="7">
        <v>0</v>
      </c>
      <c r="J115" s="7">
        <v>0.7</v>
      </c>
      <c r="K115" s="7">
        <v>0</v>
      </c>
    </row>
    <row r="116" spans="1:11">
      <c r="A116" s="6">
        <v>45748</v>
      </c>
      <c r="B116" s="7" t="str">
        <v>Painting Celia</v>
      </c>
      <c r="C116" s="7" t="str">
        <v>Maya Bairey</v>
      </c>
      <c r="D116" s="7" t="str">
        <v>Ebook</v>
      </c>
      <c r="E116" s="7" t="str">
        <v>Free promo</v>
      </c>
      <c r="F116" s="7" t="str">
        <v>Amazon.fr</v>
      </c>
      <c r="G116" s="7">
        <v>1</v>
      </c>
      <c r="H116" s="7">
        <v>0</v>
      </c>
      <c r="I116" s="7">
        <v>0</v>
      </c>
      <c r="J116" s="7">
        <v>0.7</v>
      </c>
      <c r="K116" s="7">
        <v>0</v>
      </c>
    </row>
    <row r="117" spans="1:11">
      <c r="A117" s="6">
        <v>45748</v>
      </c>
      <c r="B117" s="7" t="str">
        <v>Painting Celia</v>
      </c>
      <c r="C117" s="7" t="str">
        <v>Maya Bairey</v>
      </c>
      <c r="D117" s="7" t="str">
        <v>Ebook</v>
      </c>
      <c r="E117" s="7" t="str">
        <v>KENP</v>
      </c>
      <c r="F117" s="7" t="str">
        <v>Amazon.com</v>
      </c>
      <c r="G117" s="7">
        <v>2</v>
      </c>
      <c r="H117" s="7">
        <v>0</v>
      </c>
      <c r="I117" s="7">
        <v>0</v>
      </c>
      <c r="J117" s="7">
        <v>0.7</v>
      </c>
      <c r="K117" s="7">
        <v>0</v>
      </c>
    </row>
    <row r="118" spans="1:11">
      <c r="A118" s="6">
        <v>45748</v>
      </c>
      <c r="B118" s="7" t="str">
        <v>Painting Celia</v>
      </c>
      <c r="C118" s="7" t="str">
        <v>Maya Bairey</v>
      </c>
      <c r="D118" s="7" t="str">
        <v>Ebook</v>
      </c>
      <c r="E118" s="7" t="str">
        <v>KENP</v>
      </c>
      <c r="F118" s="7" t="str">
        <v>Amazon.com</v>
      </c>
      <c r="G118" s="7">
        <v>2</v>
      </c>
      <c r="H118" s="7">
        <v>0</v>
      </c>
      <c r="I118" s="7">
        <v>0</v>
      </c>
      <c r="J118" s="7">
        <v>0.7</v>
      </c>
      <c r="K118" s="7">
        <v>0</v>
      </c>
    </row>
    <row r="119" spans="1:11">
      <c r="A119" s="6">
        <v>45748</v>
      </c>
      <c r="B119" s="7" t="str">
        <v>Painting Celia</v>
      </c>
      <c r="C119" s="7" t="str">
        <v>Maya Bairey</v>
      </c>
      <c r="D119" s="7" t="str">
        <v>Ebook</v>
      </c>
      <c r="E119" s="7" t="str">
        <v>KENP</v>
      </c>
      <c r="F119" s="7" t="str">
        <v>Amazon.com</v>
      </c>
      <c r="G119" s="7">
        <v>2</v>
      </c>
      <c r="H119" s="7">
        <v>0</v>
      </c>
      <c r="I119" s="7">
        <v>0</v>
      </c>
      <c r="J119" s="7">
        <v>0.7</v>
      </c>
      <c r="K119" s="7">
        <v>0</v>
      </c>
    </row>
    <row r="120" spans="1:11">
      <c r="A120" s="6">
        <v>45748</v>
      </c>
      <c r="B120" s="7" t="str">
        <v>Painting Celia</v>
      </c>
      <c r="C120" s="7" t="str">
        <v>Maya Bairey</v>
      </c>
      <c r="D120" s="7" t="str">
        <v>Ebook</v>
      </c>
      <c r="E120" s="7" t="str">
        <v>KENP</v>
      </c>
      <c r="F120" s="7" t="str">
        <v>Amazon.com.br</v>
      </c>
      <c r="G120" s="7">
        <v>2</v>
      </c>
      <c r="H120" s="7">
        <v>0</v>
      </c>
      <c r="I120" s="7">
        <v>0</v>
      </c>
      <c r="J120" s="7">
        <v>0.7</v>
      </c>
      <c r="K120" s="7">
        <v>0</v>
      </c>
    </row>
    <row r="121" spans="1:11">
      <c r="A121" s="6">
        <v>45748</v>
      </c>
      <c r="B121" s="7" t="str">
        <v>Painting Celia</v>
      </c>
      <c r="C121" s="7" t="str">
        <v>Maya Bairey</v>
      </c>
      <c r="D121" s="7" t="str">
        <v>Ebook</v>
      </c>
      <c r="E121" s="7" t="str">
        <v>KENP</v>
      </c>
      <c r="F121" s="7" t="str">
        <v>Amazon.com.mx</v>
      </c>
      <c r="G121" s="7">
        <v>2</v>
      </c>
      <c r="H121" s="7">
        <v>0</v>
      </c>
      <c r="I121" s="7">
        <v>0</v>
      </c>
      <c r="J121" s="7">
        <v>0.7</v>
      </c>
      <c r="K121" s="7">
        <v>0</v>
      </c>
    </row>
    <row r="122" spans="1:11">
      <c r="A122" s="6">
        <v>45748</v>
      </c>
      <c r="B122" s="7" t="str">
        <v>Painting Celia</v>
      </c>
      <c r="C122" s="7" t="str">
        <v>Maya Bairey</v>
      </c>
      <c r="D122" s="7" t="str">
        <v>Ebook</v>
      </c>
      <c r="E122" s="7" t="str">
        <v>KENP</v>
      </c>
      <c r="F122" s="7" t="str">
        <v>Amazon.com.au</v>
      </c>
      <c r="G122" s="7">
        <v>3</v>
      </c>
      <c r="H122" s="7">
        <v>0</v>
      </c>
      <c r="I122" s="7">
        <v>0</v>
      </c>
      <c r="J122" s="7">
        <v>0.7</v>
      </c>
      <c r="K122" s="7">
        <v>0</v>
      </c>
    </row>
    <row r="123" spans="1:11">
      <c r="A123" s="6">
        <v>45748</v>
      </c>
      <c r="B123" s="7" t="str">
        <v>Painting Celia</v>
      </c>
      <c r="C123" s="7" t="str">
        <v>Maya Bairey</v>
      </c>
      <c r="D123" s="7" t="str">
        <v>Paperback</v>
      </c>
      <c r="E123" s="7" t="str">
        <v>Purchase</v>
      </c>
      <c r="F123" s="7" t="str">
        <v>Amazon.com</v>
      </c>
      <c r="G123" s="7">
        <v>3</v>
      </c>
      <c r="H123" s="7">
        <v>0</v>
      </c>
      <c r="I123" s="7">
        <v>0</v>
      </c>
      <c r="J123" s="7">
        <v>0.7</v>
      </c>
      <c r="K123" s="7">
        <v>6.06</v>
      </c>
    </row>
    <row r="124" spans="1:11">
      <c r="A124" s="6">
        <v>45748</v>
      </c>
      <c r="B124" s="7" t="str">
        <v>Painting Celia</v>
      </c>
      <c r="C124" s="7" t="str">
        <v>Maya Bairey</v>
      </c>
      <c r="D124" s="7" t="str">
        <v>Ebook</v>
      </c>
      <c r="E124" s="7" t="str">
        <v>KENP</v>
      </c>
      <c r="F124" s="7" t="str">
        <v>Amazon.it</v>
      </c>
      <c r="G124" s="7">
        <v>4</v>
      </c>
      <c r="H124" s="7">
        <v>0</v>
      </c>
      <c r="I124" s="7">
        <v>0</v>
      </c>
      <c r="J124" s="7">
        <v>0.7</v>
      </c>
      <c r="K124" s="7">
        <v>0</v>
      </c>
    </row>
    <row r="125" spans="1:11">
      <c r="A125" s="6">
        <v>45748</v>
      </c>
      <c r="B125" s="7" t="str">
        <v>Painting Celia</v>
      </c>
      <c r="C125" s="7" t="str">
        <v>Maya Bairey</v>
      </c>
      <c r="D125" s="7" t="str">
        <v>Ebook</v>
      </c>
      <c r="E125" s="7" t="str">
        <v>KENP</v>
      </c>
      <c r="F125" s="7" t="str">
        <v>Amazon.es</v>
      </c>
      <c r="G125" s="7">
        <v>4</v>
      </c>
      <c r="H125" s="7">
        <v>0</v>
      </c>
      <c r="I125" s="7">
        <v>0</v>
      </c>
      <c r="J125" s="7">
        <v>0.7</v>
      </c>
      <c r="K125" s="7">
        <v>0</v>
      </c>
    </row>
    <row r="126" spans="1:11">
      <c r="A126" s="6">
        <v>45748</v>
      </c>
      <c r="B126" s="7" t="str">
        <v>Painting Celia</v>
      </c>
      <c r="C126" s="7" t="str">
        <v>Maya Bairey</v>
      </c>
      <c r="D126" s="7" t="str">
        <v>Ebook</v>
      </c>
      <c r="E126" s="7" t="str">
        <v>KENP</v>
      </c>
      <c r="F126" s="7" t="str">
        <v>Amazon.de</v>
      </c>
      <c r="G126" s="7">
        <v>5</v>
      </c>
      <c r="H126" s="7">
        <v>0</v>
      </c>
      <c r="I126" s="7">
        <v>0</v>
      </c>
      <c r="J126" s="7">
        <v>0.7</v>
      </c>
      <c r="K126" s="7">
        <v>0</v>
      </c>
    </row>
    <row r="127" spans="1:11">
      <c r="A127" s="6">
        <v>45748</v>
      </c>
      <c r="B127" s="7" t="str">
        <v>Painting Celia</v>
      </c>
      <c r="C127" s="7" t="str">
        <v>Maya Bairey</v>
      </c>
      <c r="D127" s="7" t="str">
        <v>Ebook</v>
      </c>
      <c r="E127" s="7" t="str">
        <v>KENP</v>
      </c>
      <c r="F127" s="7" t="str">
        <v>Amazon.nl</v>
      </c>
      <c r="G127" s="7">
        <v>8</v>
      </c>
      <c r="H127" s="7">
        <v>0</v>
      </c>
      <c r="I127" s="7">
        <v>0</v>
      </c>
      <c r="J127" s="7">
        <v>0.7</v>
      </c>
      <c r="K127" s="7">
        <v>0</v>
      </c>
    </row>
    <row r="128" spans="1:11">
      <c r="A128" s="6">
        <v>45748</v>
      </c>
      <c r="B128" s="7" t="str">
        <v>Painting Celia</v>
      </c>
      <c r="C128" s="7" t="str">
        <v>Maya Bairey</v>
      </c>
      <c r="D128" s="7" t="str">
        <v>Ebook</v>
      </c>
      <c r="E128" s="7" t="str">
        <v>Free promo</v>
      </c>
      <c r="F128" s="7" t="str">
        <v>Amazon.de</v>
      </c>
      <c r="G128" s="7">
        <v>20</v>
      </c>
      <c r="H128" s="7">
        <v>0</v>
      </c>
      <c r="I128" s="7">
        <v>0</v>
      </c>
      <c r="J128" s="7">
        <v>0.7</v>
      </c>
      <c r="K128" s="7">
        <v>0</v>
      </c>
    </row>
    <row r="129" spans="1:11">
      <c r="A129" s="6">
        <v>45748</v>
      </c>
      <c r="B129" s="7" t="str">
        <v>Painting Celia</v>
      </c>
      <c r="C129" s="7" t="str">
        <v>Maya Bairey</v>
      </c>
      <c r="D129" s="7" t="str">
        <v>Ebook</v>
      </c>
      <c r="E129" s="7" t="str">
        <v>Free promo</v>
      </c>
      <c r="F129" s="7" t="str">
        <v>Amazon.com.au</v>
      </c>
      <c r="G129" s="7">
        <v>31</v>
      </c>
      <c r="H129" s="7">
        <v>0</v>
      </c>
      <c r="I129" s="7">
        <v>0</v>
      </c>
      <c r="J129" s="7">
        <v>0.7</v>
      </c>
      <c r="K129" s="7">
        <v>0</v>
      </c>
    </row>
    <row r="130" spans="1:11">
      <c r="A130" s="6">
        <v>45748</v>
      </c>
      <c r="B130" s="7" t="str">
        <v>Painting Celia</v>
      </c>
      <c r="C130" s="7" t="str">
        <v>Maya Bairey</v>
      </c>
      <c r="D130" s="7" t="str">
        <v>Ebook</v>
      </c>
      <c r="E130" s="7" t="str">
        <v>Free promo</v>
      </c>
      <c r="F130" s="7" t="str">
        <v>Amazon.ca</v>
      </c>
      <c r="G130" s="7">
        <v>39</v>
      </c>
      <c r="H130" s="7">
        <v>0</v>
      </c>
      <c r="I130" s="7">
        <v>0</v>
      </c>
      <c r="J130" s="7">
        <v>0</v>
      </c>
      <c r="K130" s="7">
        <v>0</v>
      </c>
    </row>
    <row r="131" spans="1:11">
      <c r="A131" s="6">
        <v>45748</v>
      </c>
      <c r="B131" s="7" t="str">
        <v>Painting Celia</v>
      </c>
      <c r="C131" s="7" t="str">
        <v>Maya Bairey</v>
      </c>
      <c r="D131" s="7" t="str">
        <v>Ebook</v>
      </c>
      <c r="E131" s="7" t="str">
        <v>Free promo</v>
      </c>
      <c r="F131" s="7" t="str">
        <v>Amazon.ca</v>
      </c>
      <c r="G131" s="7">
        <v>39</v>
      </c>
      <c r="H131" s="7">
        <v>0</v>
      </c>
      <c r="I131" s="7">
        <v>0</v>
      </c>
      <c r="J131" s="7">
        <v>0</v>
      </c>
      <c r="K131" s="7">
        <v>0</v>
      </c>
    </row>
    <row r="132" spans="1:11">
      <c r="A132" s="6">
        <v>45748</v>
      </c>
      <c r="B132" s="7" t="str">
        <v>Painting Celia</v>
      </c>
      <c r="C132" s="7" t="str">
        <v>Maya Bairey</v>
      </c>
      <c r="D132" s="7" t="str">
        <v>Ebook</v>
      </c>
      <c r="E132" s="7" t="str">
        <v>Free promo</v>
      </c>
      <c r="F132" s="7" t="str">
        <v>Amazon.ca</v>
      </c>
      <c r="G132" s="7">
        <v>40</v>
      </c>
      <c r="H132" s="7">
        <v>0</v>
      </c>
      <c r="I132" s="7">
        <v>0</v>
      </c>
      <c r="J132" s="7">
        <v>0.7</v>
      </c>
      <c r="K132" s="7">
        <v>0</v>
      </c>
    </row>
    <row r="133" spans="1:11">
      <c r="A133" s="6">
        <v>45748</v>
      </c>
      <c r="B133" s="7" t="str">
        <v>Painting Celia</v>
      </c>
      <c r="C133" s="7" t="str">
        <v>Maya Bairey</v>
      </c>
      <c r="D133" s="7" t="str">
        <v>Ebook</v>
      </c>
      <c r="E133" s="7" t="str">
        <v>Free promo</v>
      </c>
      <c r="F133" s="7" t="str">
        <v>Amazon.co.uk</v>
      </c>
      <c r="G133" s="7">
        <v>53</v>
      </c>
      <c r="H133" s="7">
        <v>0</v>
      </c>
      <c r="I133" s="7">
        <v>0</v>
      </c>
      <c r="J133" s="7">
        <v>0.7</v>
      </c>
      <c r="K133" s="7">
        <v>0</v>
      </c>
    </row>
    <row r="134" spans="1:11">
      <c r="A134" s="6">
        <v>45748</v>
      </c>
      <c r="B134" s="7" t="str">
        <v>Painting Celia</v>
      </c>
      <c r="C134" s="7" t="str">
        <v>Maya Bairey</v>
      </c>
      <c r="D134" s="7" t="str">
        <v>Ebook</v>
      </c>
      <c r="E134" s="7" t="str">
        <v>Free promo</v>
      </c>
      <c r="F134" s="7" t="str">
        <v>Amazon.com</v>
      </c>
      <c r="G134" s="7">
        <v>64</v>
      </c>
      <c r="H134" s="7">
        <v>0</v>
      </c>
      <c r="I134" s="7">
        <v>0</v>
      </c>
      <c r="J134" s="7">
        <v>0.35</v>
      </c>
      <c r="K134" s="7">
        <v>0</v>
      </c>
    </row>
    <row r="135" spans="1:11">
      <c r="A135" s="6">
        <v>45748</v>
      </c>
      <c r="B135" s="7" t="str">
        <v>Painting Celia</v>
      </c>
      <c r="C135" s="7" t="str">
        <v>Maya Bairey</v>
      </c>
      <c r="D135" s="7" t="str">
        <v>Ebook</v>
      </c>
      <c r="E135" s="7" t="str">
        <v>Free promo</v>
      </c>
      <c r="F135" s="7" t="str">
        <v>Amazon.com</v>
      </c>
      <c r="G135" s="7">
        <v>401</v>
      </c>
      <c r="H135" s="7">
        <v>0</v>
      </c>
      <c r="I135" s="7">
        <v>0</v>
      </c>
      <c r="J135" s="7">
        <v>0</v>
      </c>
      <c r="K135" s="7">
        <v>0</v>
      </c>
    </row>
    <row r="136" spans="1:11">
      <c r="A136" s="6">
        <v>45748</v>
      </c>
      <c r="B136" s="7" t="str">
        <v>Painting Celia</v>
      </c>
      <c r="C136" s="7" t="str">
        <v>Maya Bairey</v>
      </c>
      <c r="D136" s="7" t="str">
        <v>Ebook</v>
      </c>
      <c r="E136" s="7" t="str">
        <v>Free promo</v>
      </c>
      <c r="F136" s="7" t="str">
        <v>Amazon.com</v>
      </c>
      <c r="G136" s="7">
        <v>1318</v>
      </c>
      <c r="H136" s="7">
        <v>0</v>
      </c>
      <c r="I136" s="7">
        <v>0</v>
      </c>
      <c r="J136" s="7">
        <v>0.7</v>
      </c>
      <c r="K136" s="7">
        <v>0</v>
      </c>
    </row>
    <row r="137" spans="1:11">
      <c r="A137" s="6">
        <v>45750</v>
      </c>
      <c r="B137" s="7" t="str">
        <v>Painting Celia</v>
      </c>
      <c r="C137" s="7" t="str">
        <v>Maya Bairey</v>
      </c>
      <c r="D137" s="7" t="str">
        <v>Ebook</v>
      </c>
      <c r="E137" s="7" t="str">
        <v>KENP</v>
      </c>
      <c r="F137" s="7" t="str">
        <v>Amazon.com</v>
      </c>
      <c r="G137" s="7">
        <v>5</v>
      </c>
      <c r="H137" s="7">
        <v>0</v>
      </c>
      <c r="I137" s="7">
        <v>5</v>
      </c>
      <c r="J137" s="7">
        <v>0</v>
      </c>
      <c r="K137" s="7">
        <v>2.375E-2</v>
      </c>
    </row>
    <row r="138" spans="1:11">
      <c r="A138" s="6">
        <v>45751</v>
      </c>
      <c r="B138" s="7" t="str">
        <v>Painting Celia</v>
      </c>
      <c r="C138" s="7" t="str">
        <v>Maya Bairey</v>
      </c>
      <c r="D138" s="7" t="str">
        <v>Ebook</v>
      </c>
      <c r="E138" s="7" t="str">
        <v>Free promo</v>
      </c>
      <c r="F138" s="7" t="str">
        <v>Amazon.com</v>
      </c>
      <c r="G138" s="7">
        <v>106</v>
      </c>
      <c r="H138" s="7">
        <v>0</v>
      </c>
      <c r="I138" s="7">
        <v>106</v>
      </c>
      <c r="J138" s="7">
        <v>0</v>
      </c>
      <c r="K138" s="7">
        <v>0</v>
      </c>
    </row>
    <row r="139" spans="1:11">
      <c r="A139" s="6">
        <v>45752</v>
      </c>
      <c r="B139" s="7" t="str">
        <v>Painting Celia</v>
      </c>
      <c r="C139" s="7" t="str">
        <v>Maya Bairey</v>
      </c>
      <c r="D139" s="7" t="str">
        <v>Ebook</v>
      </c>
      <c r="E139" s="7" t="str">
        <v>Free promo</v>
      </c>
      <c r="F139" s="7" t="str">
        <v>Amazon.com</v>
      </c>
      <c r="G139" s="7">
        <v>249</v>
      </c>
      <c r="H139" s="7">
        <v>0</v>
      </c>
      <c r="I139" s="7">
        <v>249</v>
      </c>
      <c r="J139" s="7">
        <v>0</v>
      </c>
      <c r="K139" s="7">
        <v>0</v>
      </c>
    </row>
    <row r="140" spans="1:11">
      <c r="A140" s="6">
        <v>45755</v>
      </c>
      <c r="B140" s="7" t="str">
        <v>Painting Celia</v>
      </c>
      <c r="C140" s="7" t="str">
        <v>Maya Bairey</v>
      </c>
      <c r="D140" s="7" t="str">
        <v>Ebook</v>
      </c>
      <c r="E140" s="7" t="str">
        <v>Free promo</v>
      </c>
      <c r="F140" s="7" t="str">
        <v>Amazon.com</v>
      </c>
      <c r="G140" s="7">
        <v>41</v>
      </c>
      <c r="H140" s="7">
        <v>0</v>
      </c>
      <c r="I140" s="7">
        <v>41</v>
      </c>
      <c r="J140" s="7">
        <v>0</v>
      </c>
      <c r="K140" s="7">
        <v>0</v>
      </c>
    </row>
    <row r="141" spans="1:11">
      <c r="A141" s="6">
        <v>45760</v>
      </c>
      <c r="B141" s="7" t="str">
        <v>Painting Celia</v>
      </c>
      <c r="C141" s="7" t="str">
        <v>Maya Bairey</v>
      </c>
      <c r="D141" s="7" t="str">
        <v>Ebook</v>
      </c>
      <c r="E141" s="7" t="str">
        <v>Free promo</v>
      </c>
      <c r="F141" s="7" t="str">
        <v>Amazon.com</v>
      </c>
      <c r="G141" s="7">
        <v>1</v>
      </c>
      <c r="H141" s="7">
        <v>0</v>
      </c>
      <c r="I141" s="7">
        <v>1</v>
      </c>
      <c r="J141" s="7">
        <v>0</v>
      </c>
      <c r="K141" s="7">
        <v>0</v>
      </c>
    </row>
    <row r="142" spans="1:11">
      <c r="A142" s="6">
        <v>45761</v>
      </c>
      <c r="B142" s="7" t="str">
        <v>Painting Celia</v>
      </c>
      <c r="C142" s="7" t="str">
        <v>Maya Bairey</v>
      </c>
      <c r="D142" s="7" t="str">
        <v>Ebook</v>
      </c>
      <c r="E142" s="7" t="str">
        <v>Free promo</v>
      </c>
      <c r="F142" s="7" t="str">
        <v>Amazon.com</v>
      </c>
      <c r="G142" s="7">
        <v>81</v>
      </c>
      <c r="H142" s="7">
        <v>0</v>
      </c>
      <c r="I142" s="7">
        <v>81</v>
      </c>
      <c r="J142" s="7">
        <v>0</v>
      </c>
      <c r="K142" s="7">
        <v>0</v>
      </c>
    </row>
    <row r="143" spans="1:11">
      <c r="A143" s="6">
        <v>45763</v>
      </c>
      <c r="B143" s="7" t="str">
        <v>Painting Celia</v>
      </c>
      <c r="C143" s="7" t="str">
        <v>Maya Bairey</v>
      </c>
      <c r="D143" s="7" t="str">
        <v>Ebook</v>
      </c>
      <c r="E143" s="7" t="str">
        <v>Free promo</v>
      </c>
      <c r="F143" s="7" t="str">
        <v>Amazon.com</v>
      </c>
      <c r="G143" s="7">
        <v>1</v>
      </c>
      <c r="H143" s="7">
        <v>0</v>
      </c>
      <c r="I143" s="7">
        <v>1</v>
      </c>
      <c r="J143" s="7">
        <v>0</v>
      </c>
      <c r="K143" s="7">
        <v>0</v>
      </c>
    </row>
    <row r="144" spans="1:11">
      <c r="A144" s="6">
        <v>45764</v>
      </c>
      <c r="B144" s="7" t="str">
        <v>Painting Celia</v>
      </c>
      <c r="C144" s="7" t="str">
        <v>Maya Bairey</v>
      </c>
      <c r="D144" s="7" t="str">
        <v>Ebook</v>
      </c>
      <c r="E144" s="7" t="str">
        <v>Free promo</v>
      </c>
      <c r="F144" s="7" t="str">
        <v>Amazon.com</v>
      </c>
      <c r="G144" s="7">
        <v>38</v>
      </c>
      <c r="H144" s="7">
        <v>0</v>
      </c>
      <c r="I144" s="7">
        <v>38</v>
      </c>
      <c r="J144" s="7">
        <v>0</v>
      </c>
      <c r="K144" s="7">
        <v>0</v>
      </c>
    </row>
    <row r="145" spans="1:11">
      <c r="A145" s="6">
        <v>45765</v>
      </c>
      <c r="B145" s="7" t="str">
        <v>Painting Celia</v>
      </c>
      <c r="C145" s="7" t="str">
        <v>Maya Bairey</v>
      </c>
      <c r="D145" s="7" t="str">
        <v>Ebook</v>
      </c>
      <c r="E145" s="7" t="str">
        <v>Free promo</v>
      </c>
      <c r="F145" s="7" t="str">
        <v>Amazon.com</v>
      </c>
      <c r="G145" s="7">
        <v>19</v>
      </c>
      <c r="H145" s="7">
        <v>0</v>
      </c>
      <c r="I145" s="7">
        <v>19</v>
      </c>
      <c r="J145" s="7">
        <v>0</v>
      </c>
      <c r="K145" s="7">
        <v>0</v>
      </c>
    </row>
    <row r="146" spans="1:11">
      <c r="A146" s="6">
        <v>45767</v>
      </c>
      <c r="B146" s="7" t="str">
        <v>Painting Celia</v>
      </c>
      <c r="C146" s="7" t="str">
        <v>Maya Bairey</v>
      </c>
      <c r="D146" s="7" t="str">
        <v>Ebook</v>
      </c>
      <c r="E146" s="7" t="str">
        <v>KENP</v>
      </c>
      <c r="F146" s="7" t="str">
        <v>Amazon.com</v>
      </c>
      <c r="G146" s="7">
        <v>2</v>
      </c>
      <c r="H146" s="7">
        <v>0</v>
      </c>
      <c r="I146" s="7">
        <v>2</v>
      </c>
      <c r="J146" s="7">
        <v>0</v>
      </c>
      <c r="K146" s="7">
        <v>9.4999999999999998E-3</v>
      </c>
    </row>
    <row r="147" spans="1:11">
      <c r="A147" s="6">
        <v>45768</v>
      </c>
      <c r="B147" s="7" t="str">
        <v>Painting Celia</v>
      </c>
      <c r="C147" s="7" t="str">
        <v>Maya Bairey</v>
      </c>
      <c r="D147" s="7" t="str">
        <v>Ebook</v>
      </c>
      <c r="E147" s="7" t="str">
        <v>Free promo</v>
      </c>
      <c r="F147" s="7" t="str">
        <v>Amazon.com</v>
      </c>
      <c r="G147" s="7">
        <v>1</v>
      </c>
      <c r="H147" s="7">
        <v>0</v>
      </c>
      <c r="I147" s="7">
        <v>1</v>
      </c>
      <c r="J147" s="7">
        <v>0</v>
      </c>
      <c r="K147" s="7">
        <v>0</v>
      </c>
    </row>
    <row r="148" spans="1:11">
      <c r="A148" s="6">
        <v>45770</v>
      </c>
      <c r="B148" s="7" t="str">
        <v>Painting Celia</v>
      </c>
      <c r="C148" s="7" t="str">
        <v>Maya Bairey</v>
      </c>
      <c r="D148" s="7" t="str">
        <v>Ebook</v>
      </c>
      <c r="E148" s="7" t="str">
        <v>KENP</v>
      </c>
      <c r="F148" s="7" t="str">
        <v>Amazon.com</v>
      </c>
      <c r="G148" s="7">
        <v>7</v>
      </c>
      <c r="H148" s="7">
        <v>0</v>
      </c>
      <c r="I148" s="7">
        <v>7</v>
      </c>
      <c r="J148" s="7">
        <v>0</v>
      </c>
      <c r="K148" s="7">
        <v>3.3250000000000002E-2</v>
      </c>
    </row>
    <row r="149" spans="1:11">
      <c r="A149" s="6">
        <v>45778</v>
      </c>
      <c r="B149" s="7" t="str">
        <v>Painting Celia</v>
      </c>
      <c r="C149" s="7" t="str">
        <v>Maya Bairey</v>
      </c>
      <c r="D149" s="7" t="str">
        <v>Paperback</v>
      </c>
      <c r="E149" s="7" t="str">
        <v>Purchase</v>
      </c>
      <c r="F149" s="7" t="str">
        <v>Amazon.it</v>
      </c>
      <c r="G149" s="7">
        <v>1</v>
      </c>
      <c r="H149" s="7">
        <v>0</v>
      </c>
      <c r="I149" s="7">
        <v>0</v>
      </c>
      <c r="J149" s="7">
        <v>1</v>
      </c>
      <c r="K149" s="7">
        <v>2.79</v>
      </c>
    </row>
    <row r="150" spans="1:11">
      <c r="A150" s="6">
        <v>45778</v>
      </c>
      <c r="B150" s="7" t="str">
        <v>Painting Celia</v>
      </c>
      <c r="C150" s="7" t="str">
        <v>Maya Bairey</v>
      </c>
      <c r="D150" s="7" t="str">
        <v>Paperback</v>
      </c>
      <c r="E150" s="7" t="str">
        <v>Purchase</v>
      </c>
      <c r="F150" s="7" t="str">
        <v>Amazon.com.au</v>
      </c>
      <c r="G150" s="7">
        <v>1</v>
      </c>
      <c r="H150" s="7">
        <v>0</v>
      </c>
      <c r="I150" s="7">
        <v>0</v>
      </c>
      <c r="J150" s="7">
        <v>1</v>
      </c>
      <c r="K150" s="7">
        <v>2.9</v>
      </c>
    </row>
    <row r="151" spans="1:11">
      <c r="A151" s="6">
        <v>45778</v>
      </c>
      <c r="B151" s="7" t="str">
        <v>Painting Celia</v>
      </c>
      <c r="C151" s="7" t="str">
        <v>Maya Bairey</v>
      </c>
      <c r="D151" s="7" t="str">
        <v>Ebook</v>
      </c>
      <c r="E151" s="7" t="str">
        <v>KENP</v>
      </c>
      <c r="F151" s="7" t="str">
        <v>Amazon.com</v>
      </c>
      <c r="G151" s="7">
        <v>551</v>
      </c>
      <c r="H151" s="7">
        <v>0</v>
      </c>
      <c r="I151" s="7">
        <v>0</v>
      </c>
      <c r="J151" s="7">
        <v>1</v>
      </c>
      <c r="K151" s="7">
        <v>2.42</v>
      </c>
    </row>
    <row r="152" spans="1:11">
      <c r="A152" s="6">
        <v>45809</v>
      </c>
      <c r="B152" s="7" t="str">
        <v>Painting Celia</v>
      </c>
      <c r="C152" s="7" t="str">
        <v>Maya Bairey</v>
      </c>
      <c r="D152" s="7" t="str">
        <v>Paperback</v>
      </c>
      <c r="E152" s="7" t="str">
        <v>Purchase</v>
      </c>
      <c r="F152" s="7" t="str">
        <v>Amazon.com</v>
      </c>
      <c r="G152" s="7">
        <v>1</v>
      </c>
      <c r="H152" s="7">
        <v>0</v>
      </c>
      <c r="I152" s="7">
        <v>0</v>
      </c>
      <c r="J152" s="7">
        <v>1</v>
      </c>
      <c r="K152" s="7">
        <v>1.05</v>
      </c>
    </row>
    <row r="153" spans="1:11">
      <c r="A153" s="6">
        <v>45809</v>
      </c>
      <c r="B153" s="7" t="str">
        <v>Painting Celia</v>
      </c>
      <c r="C153" s="7" t="str">
        <v>Maya Bairey</v>
      </c>
      <c r="D153" s="7" t="str">
        <v>Paperback</v>
      </c>
      <c r="E153" s="7" t="str">
        <v>Purchase</v>
      </c>
      <c r="F153" s="7" t="str">
        <v>Amazon.ca</v>
      </c>
      <c r="G153" s="7">
        <v>1</v>
      </c>
      <c r="H153" s="7">
        <v>0</v>
      </c>
      <c r="I153" s="7">
        <v>0</v>
      </c>
      <c r="J153" s="7">
        <v>1</v>
      </c>
      <c r="K153" s="7">
        <v>2.83</v>
      </c>
    </row>
    <row r="154" spans="1:11">
      <c r="A154" s="6">
        <v>45809</v>
      </c>
      <c r="B154" s="7" t="str">
        <v>Painting Celia</v>
      </c>
      <c r="C154" s="7" t="str">
        <v>Maya Bairey</v>
      </c>
      <c r="D154" s="7" t="str">
        <v>Ebook</v>
      </c>
      <c r="E154" s="7" t="str">
        <v>KENP</v>
      </c>
      <c r="F154" s="7" t="str">
        <v>Amazon.com</v>
      </c>
      <c r="G154" s="7">
        <v>39</v>
      </c>
      <c r="H154" s="7">
        <v>0</v>
      </c>
      <c r="I154" s="7">
        <v>0</v>
      </c>
      <c r="J154" s="7">
        <v>1</v>
      </c>
      <c r="K154" s="7">
        <v>0.17</v>
      </c>
    </row>
    <row r="155" spans="1:11">
      <c r="A155" s="6">
        <v>45839</v>
      </c>
      <c r="B155" s="7" t="str">
        <v>Painting Celia</v>
      </c>
      <c r="C155" s="7" t="str">
        <v>Maya Bairey</v>
      </c>
      <c r="D155" s="7" t="str">
        <v>Paperback</v>
      </c>
      <c r="E155" s="7" t="str">
        <v>Purchase</v>
      </c>
      <c r="F155" s="7" t="str">
        <v>Amazon.com</v>
      </c>
      <c r="G155" s="7">
        <v>2</v>
      </c>
      <c r="H155" s="7">
        <v>0</v>
      </c>
      <c r="I155" s="7">
        <v>0</v>
      </c>
      <c r="J155" s="7">
        <v>1</v>
      </c>
      <c r="K155" s="7">
        <v>3.1</v>
      </c>
    </row>
    <row r="156" spans="1:11">
      <c r="A156" s="6">
        <v>45839</v>
      </c>
      <c r="B156" s="7" t="str">
        <v>Painting Celia</v>
      </c>
      <c r="C156" s="7" t="str">
        <v>Maya Bairey</v>
      </c>
      <c r="D156" s="7" t="str">
        <v>Ebook</v>
      </c>
      <c r="E156" s="7" t="str">
        <v>KENP</v>
      </c>
      <c r="F156" s="7" t="str">
        <v>Amazon.com</v>
      </c>
      <c r="G156" s="7">
        <v>515</v>
      </c>
      <c r="H156" s="7">
        <v>0</v>
      </c>
      <c r="I156" s="7">
        <v>0</v>
      </c>
      <c r="J156" s="7">
        <v>1</v>
      </c>
      <c r="K156" s="7">
        <v>2.16</v>
      </c>
    </row>
    <row r="157" spans="1:11">
      <c r="A157" s="6">
        <v>45839</v>
      </c>
      <c r="B157" s="7" t="str">
        <v>Painting Celia</v>
      </c>
      <c r="C157" s="7" t="str">
        <v>Maya Bairey</v>
      </c>
      <c r="D157" s="7" t="str">
        <v>Ebook</v>
      </c>
      <c r="E157" s="7" t="str">
        <v>KENP</v>
      </c>
      <c r="F157" s="7" t="str">
        <v>Amazon.com.au</v>
      </c>
      <c r="G157" s="7">
        <v>108</v>
      </c>
      <c r="H157" s="7">
        <v>0</v>
      </c>
      <c r="I157" s="7">
        <v>0</v>
      </c>
      <c r="J157" s="7">
        <v>1</v>
      </c>
      <c r="K157" s="7">
        <v>0.39</v>
      </c>
    </row>
    <row r="158" spans="1:11">
      <c r="A158" s="6">
        <v>45870</v>
      </c>
      <c r="B158" s="7" t="str">
        <v>Painting Celia</v>
      </c>
      <c r="C158" s="7" t="str">
        <v>Maya Bairey</v>
      </c>
      <c r="D158" s="7" t="str">
        <v>Ebook</v>
      </c>
      <c r="E158" s="7" t="str">
        <v>KENP</v>
      </c>
      <c r="F158" s="7" t="str">
        <v>Amazon.com</v>
      </c>
      <c r="G158" s="7">
        <v>287</v>
      </c>
      <c r="H158" s="7">
        <v>0</v>
      </c>
      <c r="I158" s="7">
        <v>0</v>
      </c>
      <c r="J158" s="7">
        <v>1</v>
      </c>
      <c r="K158" s="7">
        <v>1.23</v>
      </c>
    </row>
    <row r="159" spans="1:11">
      <c r="A159" s="6">
        <v>45901</v>
      </c>
      <c r="B159" s="7" t="str">
        <v>Painting Celia</v>
      </c>
      <c r="C159" s="7" t="str">
        <v>Maya Bairey</v>
      </c>
      <c r="D159" s="7" t="str">
        <v>Ebook</v>
      </c>
      <c r="E159" s="7" t="str">
        <v>KENP</v>
      </c>
      <c r="F159" s="7" t="str">
        <v>Amazon.com</v>
      </c>
      <c r="G159" s="7">
        <v>510</v>
      </c>
      <c r="H159" s="7">
        <v>0</v>
      </c>
      <c r="I159" s="7">
        <v>0</v>
      </c>
      <c r="J159" s="7">
        <v>1</v>
      </c>
      <c r="K159" s="7">
        <v>2.2999999999999998</v>
      </c>
    </row>
    <row r="160" spans="1:11">
      <c r="A160" s="6">
        <v>45992</v>
      </c>
      <c r="B160" s="7" t="str">
        <v>Painting Celia</v>
      </c>
      <c r="C160" s="7" t="str">
        <v>Maya Bairey</v>
      </c>
      <c r="D160" s="7" t="str">
        <v>Ebook</v>
      </c>
      <c r="E160" s="7" t="str">
        <v>Purchase</v>
      </c>
      <c r="F160" s="7" t="str">
        <v>Amazon.ca</v>
      </c>
      <c r="G160" s="7">
        <v>1</v>
      </c>
      <c r="H160" s="7">
        <v>0</v>
      </c>
      <c r="I160" s="7">
        <v>1</v>
      </c>
      <c r="J160" s="7">
        <v>0.7</v>
      </c>
      <c r="K160" s="7">
        <v>2.83</v>
      </c>
    </row>
  </sheetData>
  <autoFilter ref="A10:K17" xr:uid="{8219136B-E750-46F1-A9C3-157164C1DD2A}">
    <sortState xmlns:xlrd2="http://schemas.microsoft.com/office/spreadsheetml/2017/richdata2" ref="A11:K112">
      <sortCondition descending="1" ref="A10:A17"/>
    </sortState>
  </autoFilter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A70B-1B65-4DE5-8242-DE88BABEE480}">
  <dimension ref="A1:M112"/>
  <sheetViews>
    <sheetView zoomScaleNormal="100" workbookViewId="0">
      <selection activeCell="A76" sqref="A76"/>
    </sheetView>
  </sheetViews>
  <sheetFormatPr defaultRowHeight="15"/>
  <cols>
    <col min="1" max="1" width="10.85546875" style="6" customWidth="1"/>
    <col min="2" max="2" width="25.5703125" style="7" bestFit="1" customWidth="1"/>
    <col min="3" max="3" width="12.28515625" style="7" customWidth="1"/>
    <col min="4" max="4" width="12.7109375" style="7" customWidth="1"/>
    <col min="5" max="5" width="13" style="7" customWidth="1"/>
    <col min="6" max="6" width="15.85546875" style="7" bestFit="1" customWidth="1"/>
    <col min="7" max="7" width="13.5703125" style="7" bestFit="1" customWidth="1"/>
    <col min="8" max="8" width="18.7109375" style="7" bestFit="1" customWidth="1"/>
    <col min="9" max="9" width="17.7109375" style="7" bestFit="1" customWidth="1"/>
    <col min="10" max="10" width="10.5703125" style="7" customWidth="1"/>
    <col min="11" max="11" width="12.7109375" style="7" customWidth="1"/>
    <col min="12" max="16384" width="9.140625" style="7"/>
  </cols>
  <sheetData>
    <row r="1" spans="1:13" s="16" customFormat="1" ht="24">
      <c r="A1" s="15" t="s">
        <v>79</v>
      </c>
    </row>
    <row r="2" spans="1:13" s="16" customFormat="1">
      <c r="A2" s="17"/>
    </row>
    <row r="3" spans="1:13" s="16" customFormat="1" ht="18.75">
      <c r="A3" s="17"/>
      <c r="B3" s="18" t="s">
        <v>111</v>
      </c>
      <c r="C3" s="21">
        <f>SUM(K:K)</f>
        <v>27.971539999999948</v>
      </c>
    </row>
    <row r="4" spans="1:13" s="16" customFormat="1" ht="18.75">
      <c r="A4" s="17"/>
      <c r="B4" s="19" t="s">
        <v>29</v>
      </c>
      <c r="C4" s="20">
        <f>SUMIFS(K10:K1000, D10:D1000, "Ebook", E10:E1000, "&lt;&gt;KENP")</f>
        <v>7.6999999999999993</v>
      </c>
    </row>
    <row r="5" spans="1:13" s="16" customFormat="1" ht="18.75">
      <c r="A5" s="17"/>
      <c r="B5" s="19" t="s">
        <v>80</v>
      </c>
      <c r="C5" s="20">
        <f>SUMIFS(K10:K1000, D10:D1000, "Paperback")</f>
        <v>127.32</v>
      </c>
    </row>
    <row r="6" spans="1:13" s="16" customFormat="1" ht="18.75">
      <c r="A6" s="17"/>
      <c r="B6" s="19" t="s">
        <v>26</v>
      </c>
      <c r="C6" s="20">
        <f>SUMIFS(K10:K1000, D10:D1000, "Ebook", E10:E1000, "KENP")</f>
        <v>1.8715400000000002</v>
      </c>
    </row>
    <row r="7" spans="1:13" s="16" customFormat="1">
      <c r="A7" s="17"/>
    </row>
    <row r="8" spans="1:13" s="16" customFormat="1">
      <c r="A8" s="17"/>
    </row>
    <row r="9" spans="1:13" s="16" customFormat="1">
      <c r="A9" s="17"/>
    </row>
    <row r="10" spans="1:13" s="14" customFormat="1" ht="15.75" customHeight="1">
      <c r="A10" s="12" t="s">
        <v>17</v>
      </c>
      <c r="B10" s="13" t="s">
        <v>0</v>
      </c>
      <c r="C10" s="13" t="s">
        <v>1</v>
      </c>
      <c r="D10" s="13" t="s">
        <v>78</v>
      </c>
      <c r="E10" s="13" t="s">
        <v>19</v>
      </c>
      <c r="F10" s="13" t="s">
        <v>2</v>
      </c>
      <c r="G10" s="13" t="s">
        <v>3</v>
      </c>
      <c r="H10" s="13" t="s">
        <v>4</v>
      </c>
      <c r="I10" s="13" t="s">
        <v>18</v>
      </c>
      <c r="J10" s="13" t="s">
        <v>20</v>
      </c>
      <c r="K10" s="13" t="s">
        <v>8</v>
      </c>
    </row>
    <row r="11" spans="1:13">
      <c r="A11" s="6" cm="1">
        <f t="array" ref="A11:K78">_xlfn._xlws.FILTER(Transactions!A2:K978, Transactions!C2:C978="Sulima Malzin", "No records")</f>
        <v>44805</v>
      </c>
      <c r="B11" s="7" t="str">
        <v>(multiple)</v>
      </c>
      <c r="C11" s="7" t="str">
        <v>Sulima Malzin</v>
      </c>
      <c r="D11" s="7" t="str">
        <v>(multiple)</v>
      </c>
      <c r="E11" s="7" t="str">
        <v>Payment</v>
      </c>
      <c r="F11" s="7" t="str">
        <v>(multiple)</v>
      </c>
      <c r="G11" s="7">
        <v>0</v>
      </c>
      <c r="H11" s="7">
        <v>0</v>
      </c>
      <c r="I11" s="7">
        <v>0</v>
      </c>
      <c r="J11" s="8">
        <v>0</v>
      </c>
      <c r="K11" s="9">
        <v>242.51</v>
      </c>
      <c r="L11" s="10"/>
      <c r="M11" s="10"/>
    </row>
    <row r="12" spans="1:13">
      <c r="A12" s="6">
        <v>44850</v>
      </c>
      <c r="B12" s="7" t="str">
        <v>(multiple)</v>
      </c>
      <c r="C12" s="7" t="str">
        <v>Sulima Malzin</v>
      </c>
      <c r="D12" s="7" t="str">
        <v>(multiple)</v>
      </c>
      <c r="E12" s="7" t="str">
        <v>Payment</v>
      </c>
      <c r="F12" s="7" t="str">
        <v>(multiple)</v>
      </c>
      <c r="G12" s="7">
        <v>0</v>
      </c>
      <c r="H12" s="7">
        <v>0</v>
      </c>
      <c r="I12" s="7">
        <v>0</v>
      </c>
      <c r="J12" s="8">
        <v>0</v>
      </c>
      <c r="K12" s="9">
        <v>-40</v>
      </c>
      <c r="L12" s="10"/>
      <c r="M12" s="10"/>
    </row>
    <row r="13" spans="1:13">
      <c r="A13" s="6">
        <v>44957</v>
      </c>
      <c r="B13" s="7" t="str">
        <v>(multiple)</v>
      </c>
      <c r="C13" s="7" t="str">
        <v>Sulima Malzin</v>
      </c>
      <c r="D13" s="7" t="str">
        <v>(multiple)</v>
      </c>
      <c r="E13" s="7" t="str">
        <v>Payment</v>
      </c>
      <c r="F13" s="7" t="str">
        <v>(multiple)</v>
      </c>
      <c r="G13" s="7">
        <v>0</v>
      </c>
      <c r="H13" s="7">
        <v>0</v>
      </c>
      <c r="I13" s="7">
        <v>0</v>
      </c>
      <c r="J13" s="8">
        <v>0</v>
      </c>
      <c r="K13" s="9">
        <v>-29</v>
      </c>
      <c r="L13" s="10"/>
      <c r="M13" s="10"/>
    </row>
    <row r="14" spans="1:13">
      <c r="A14" s="6">
        <v>45027</v>
      </c>
      <c r="B14" s="7" t="str">
        <v>(multiple)</v>
      </c>
      <c r="C14" s="7" t="str">
        <v>Sulima Malzin</v>
      </c>
      <c r="D14" s="7" t="str">
        <v>(multiple)</v>
      </c>
      <c r="E14" s="7" t="str">
        <v>Payment</v>
      </c>
      <c r="F14" s="7" t="str">
        <v>(multiple)</v>
      </c>
      <c r="G14" s="7">
        <v>0</v>
      </c>
      <c r="H14" s="7">
        <v>0</v>
      </c>
      <c r="I14" s="7">
        <v>0</v>
      </c>
      <c r="J14" s="11">
        <v>0</v>
      </c>
      <c r="K14" s="9">
        <v>-29</v>
      </c>
      <c r="L14" s="10"/>
      <c r="M14" s="10"/>
    </row>
    <row r="15" spans="1:13">
      <c r="A15" s="6">
        <v>45047</v>
      </c>
      <c r="B15" s="7" t="str">
        <v>Arms Filled with Bittersweet</v>
      </c>
      <c r="C15" s="7" t="str">
        <v>Sulima Malzin</v>
      </c>
      <c r="D15" s="7" t="str">
        <v>Ebook</v>
      </c>
      <c r="E15" s="7" t="str">
        <v>Pre-order</v>
      </c>
      <c r="F15" s="7" t="str">
        <v>Amazon.com</v>
      </c>
      <c r="G15" s="7">
        <v>15</v>
      </c>
      <c r="H15" s="7">
        <v>0</v>
      </c>
      <c r="I15" s="7">
        <v>15</v>
      </c>
      <c r="J15" s="11">
        <v>0.35</v>
      </c>
      <c r="K15" s="9">
        <v>5.25</v>
      </c>
      <c r="L15" s="10"/>
      <c r="M15" s="10"/>
    </row>
    <row r="16" spans="1:13">
      <c r="A16" s="6">
        <v>45047</v>
      </c>
      <c r="B16" s="7" t="str">
        <v>Arms Filled with Bittersweet</v>
      </c>
      <c r="C16" s="7" t="str">
        <v>Sulima Malzin</v>
      </c>
      <c r="D16" s="7" t="str">
        <v>Ebook</v>
      </c>
      <c r="E16" s="7" t="str">
        <v>Free promo</v>
      </c>
      <c r="F16" s="7" t="str">
        <v>Amazon.com</v>
      </c>
      <c r="G16" s="7">
        <v>55</v>
      </c>
      <c r="H16" s="7">
        <v>0</v>
      </c>
      <c r="I16" s="7">
        <v>55</v>
      </c>
      <c r="J16" s="8">
        <v>0.35</v>
      </c>
      <c r="K16" s="9">
        <v>0</v>
      </c>
      <c r="L16" s="10"/>
      <c r="M16" s="10"/>
    </row>
    <row r="17" spans="1:13">
      <c r="A17" s="6">
        <v>45047</v>
      </c>
      <c r="B17" s="7" t="str">
        <v>Arms Filled with Bittersweet</v>
      </c>
      <c r="C17" s="7" t="str">
        <v>Sulima Malzin</v>
      </c>
      <c r="D17" s="7" t="str">
        <v>Ebook</v>
      </c>
      <c r="E17" s="7" t="str">
        <v>Free promo</v>
      </c>
      <c r="F17" s="7" t="str">
        <v>Amazon.com</v>
      </c>
      <c r="G17" s="7">
        <v>1</v>
      </c>
      <c r="H17" s="7">
        <v>0</v>
      </c>
      <c r="I17" s="7">
        <v>1</v>
      </c>
      <c r="J17" s="8">
        <v>0.35</v>
      </c>
      <c r="K17" s="9">
        <v>0</v>
      </c>
      <c r="L17" s="10"/>
      <c r="M17" s="10"/>
    </row>
    <row r="18" spans="1:13">
      <c r="A18" s="6">
        <v>45047</v>
      </c>
      <c r="B18" s="7" t="str">
        <v>Arms Filled with Bittersweet</v>
      </c>
      <c r="C18" s="7" t="str">
        <v>Sulima Malzin</v>
      </c>
      <c r="D18" s="7" t="str">
        <v>Ebook</v>
      </c>
      <c r="E18" s="7" t="str">
        <v>Free promo</v>
      </c>
      <c r="F18" s="7" t="str">
        <v>Amazon.co.uk</v>
      </c>
      <c r="G18" s="7">
        <v>2</v>
      </c>
      <c r="H18" s="7">
        <v>0</v>
      </c>
      <c r="I18" s="7">
        <v>2</v>
      </c>
      <c r="J18" s="8">
        <v>0.35</v>
      </c>
      <c r="K18" s="9">
        <v>0</v>
      </c>
      <c r="L18" s="10"/>
      <c r="M18" s="10"/>
    </row>
    <row r="19" spans="1:13">
      <c r="A19" s="6">
        <v>45047</v>
      </c>
      <c r="B19" s="7" t="str">
        <v>Arms Filled with Bittersweet</v>
      </c>
      <c r="C19" s="7" t="str">
        <v>Sulima Malzin</v>
      </c>
      <c r="D19" s="7" t="str">
        <v>Ebook</v>
      </c>
      <c r="E19" s="7" t="str">
        <v>Free price match</v>
      </c>
      <c r="F19" s="7" t="str">
        <v>Amazon.ca</v>
      </c>
      <c r="G19" s="7">
        <v>1</v>
      </c>
      <c r="H19" s="7">
        <v>0</v>
      </c>
      <c r="I19" s="7">
        <v>1</v>
      </c>
      <c r="J19" s="8">
        <v>0.35</v>
      </c>
      <c r="K19" s="9">
        <v>0</v>
      </c>
      <c r="L19" s="10"/>
      <c r="M19" s="10"/>
    </row>
    <row r="20" spans="1:13">
      <c r="A20" s="6">
        <v>45047</v>
      </c>
      <c r="B20" s="7" t="str">
        <v>Arms Filled with Bittersweet</v>
      </c>
      <c r="C20" s="7" t="str">
        <v>Sulima Malzin</v>
      </c>
      <c r="D20" s="7" t="str">
        <v>Ebook</v>
      </c>
      <c r="E20" s="7" t="str">
        <v>Free promo</v>
      </c>
      <c r="F20" s="7" t="str">
        <v>Amazon.ca</v>
      </c>
      <c r="G20" s="7">
        <v>1</v>
      </c>
      <c r="H20" s="7">
        <v>0</v>
      </c>
      <c r="I20" s="7">
        <v>1</v>
      </c>
      <c r="J20" s="8">
        <v>0.35</v>
      </c>
      <c r="K20" s="9">
        <v>0</v>
      </c>
      <c r="L20" s="10"/>
      <c r="M20" s="10"/>
    </row>
    <row r="21" spans="1:13">
      <c r="A21" s="6">
        <v>45047</v>
      </c>
      <c r="B21" s="7" t="str">
        <v>Arms Filled with Bittersweet</v>
      </c>
      <c r="C21" s="7" t="str">
        <v>Sulima Malzin</v>
      </c>
      <c r="D21" s="7" t="str">
        <v>Ebook</v>
      </c>
      <c r="E21" s="7" t="str">
        <v>Free promo</v>
      </c>
      <c r="F21" s="7" t="str">
        <v>Amazon.in</v>
      </c>
      <c r="G21" s="7">
        <v>1</v>
      </c>
      <c r="H21" s="7">
        <v>0</v>
      </c>
      <c r="I21" s="7">
        <v>1</v>
      </c>
      <c r="J21" s="8">
        <v>0.35</v>
      </c>
      <c r="K21" s="9">
        <v>0</v>
      </c>
      <c r="L21" s="10"/>
      <c r="M21" s="10"/>
    </row>
    <row r="22" spans="1:13">
      <c r="A22" s="6">
        <v>45047</v>
      </c>
      <c r="B22" s="7" t="str">
        <v>Arms Filled with Bittersweet</v>
      </c>
      <c r="C22" s="7" t="str">
        <v>Sulima Malzin</v>
      </c>
      <c r="D22" s="7" t="str">
        <v>Paperback</v>
      </c>
      <c r="E22" s="7" t="str">
        <v>Purchase</v>
      </c>
      <c r="F22" s="7" t="str">
        <v>Amazon.com</v>
      </c>
      <c r="G22" s="7">
        <v>1</v>
      </c>
      <c r="H22" s="7">
        <v>0</v>
      </c>
      <c r="I22" s="7">
        <v>1</v>
      </c>
      <c r="J22" s="11">
        <v>0.6</v>
      </c>
      <c r="K22" s="9">
        <v>5.64</v>
      </c>
      <c r="L22" s="10"/>
      <c r="M22" s="10"/>
    </row>
    <row r="23" spans="1:13">
      <c r="A23" s="6">
        <v>45047</v>
      </c>
      <c r="B23" s="7" t="str">
        <v>Arms Filled with Bittersweet</v>
      </c>
      <c r="C23" s="7" t="str">
        <v>Sulima Malzin</v>
      </c>
      <c r="D23" s="7" t="str">
        <v>Paperback</v>
      </c>
      <c r="E23" s="7" t="str">
        <v>Purchase</v>
      </c>
      <c r="F23" s="7" t="str">
        <v>Amazon.com</v>
      </c>
      <c r="G23" s="7">
        <v>1</v>
      </c>
      <c r="H23" s="7">
        <v>0</v>
      </c>
      <c r="I23" s="7">
        <v>1</v>
      </c>
      <c r="J23" s="11">
        <v>0.6</v>
      </c>
      <c r="K23" s="9">
        <v>5.64</v>
      </c>
      <c r="L23" s="10"/>
      <c r="M23" s="10"/>
    </row>
    <row r="24" spans="1:13">
      <c r="A24" s="6">
        <v>45047</v>
      </c>
      <c r="B24" s="7" t="str">
        <v>Arms Filled with Bittersweet</v>
      </c>
      <c r="C24" s="7" t="str">
        <v>Sulima Malzin</v>
      </c>
      <c r="D24" s="7" t="str">
        <v>Paperback</v>
      </c>
      <c r="E24" s="7" t="str">
        <v>Purchase</v>
      </c>
      <c r="F24" s="7" t="str">
        <v>Amazon.com</v>
      </c>
      <c r="G24" s="7">
        <v>1</v>
      </c>
      <c r="H24" s="7">
        <v>0</v>
      </c>
      <c r="I24" s="7">
        <v>1</v>
      </c>
      <c r="J24" s="8">
        <v>0.6</v>
      </c>
      <c r="K24" s="9">
        <v>5.64</v>
      </c>
      <c r="L24" s="10"/>
      <c r="M24" s="10"/>
    </row>
    <row r="25" spans="1:13">
      <c r="A25" s="6">
        <v>45047</v>
      </c>
      <c r="B25" s="7" t="str">
        <v>Arms Filled with Bittersweet</v>
      </c>
      <c r="C25" s="7" t="str">
        <v>Sulima Malzin</v>
      </c>
      <c r="D25" s="7" t="str">
        <v>Paperback</v>
      </c>
      <c r="E25" s="7" t="str">
        <v>Purchase</v>
      </c>
      <c r="F25" s="7" t="str">
        <v>Amazon.com</v>
      </c>
      <c r="G25" s="7">
        <v>4</v>
      </c>
      <c r="H25" s="7">
        <v>0</v>
      </c>
      <c r="I25" s="7">
        <v>4</v>
      </c>
      <c r="J25" s="8">
        <v>0.6</v>
      </c>
      <c r="K25" s="9">
        <v>22.56</v>
      </c>
      <c r="L25" s="10"/>
      <c r="M25" s="10"/>
    </row>
    <row r="26" spans="1:13">
      <c r="A26" s="6">
        <v>45047</v>
      </c>
      <c r="B26" s="7" t="str">
        <v>Arms Filled with Bittersweet</v>
      </c>
      <c r="C26" s="7" t="str">
        <v>Sulima Malzin</v>
      </c>
      <c r="D26" s="7" t="str">
        <v>Ebook</v>
      </c>
      <c r="E26" s="7" t="str">
        <v>KENP</v>
      </c>
      <c r="F26" s="7" t="str">
        <v>Amazon.com</v>
      </c>
      <c r="G26" s="7">
        <v>27</v>
      </c>
      <c r="H26" s="7">
        <v>0</v>
      </c>
      <c r="I26" s="7">
        <v>0</v>
      </c>
      <c r="J26" s="8">
        <v>0</v>
      </c>
      <c r="K26" s="9">
        <v>0.11863800000000001</v>
      </c>
      <c r="L26" s="10"/>
      <c r="M26" s="10"/>
    </row>
    <row r="27" spans="1:13">
      <c r="A27" s="6">
        <v>45078</v>
      </c>
      <c r="B27" s="7" t="str">
        <v>Arms Filled with Bittersweet</v>
      </c>
      <c r="C27" s="7" t="str">
        <v>Sulima Malzin</v>
      </c>
      <c r="D27" s="7" t="str">
        <v>Ebook</v>
      </c>
      <c r="E27" s="7" t="str">
        <v>Purchase</v>
      </c>
      <c r="F27" s="7" t="str">
        <v>Amazon.com</v>
      </c>
      <c r="G27" s="7">
        <v>1</v>
      </c>
      <c r="H27" s="7">
        <v>0</v>
      </c>
      <c r="I27" s="7">
        <v>1</v>
      </c>
      <c r="J27" s="8">
        <v>0.35</v>
      </c>
      <c r="K27" s="9">
        <v>0.35</v>
      </c>
      <c r="L27" s="10"/>
      <c r="M27" s="10"/>
    </row>
    <row r="28" spans="1:13">
      <c r="A28" s="6">
        <v>45078</v>
      </c>
      <c r="B28" s="7" t="str">
        <v>All In The Soup Together</v>
      </c>
      <c r="C28" s="7" t="str">
        <v>Sulima Malzin</v>
      </c>
      <c r="D28" s="7" t="str">
        <v>Ebook</v>
      </c>
      <c r="E28" s="7" t="str">
        <v>Purchase</v>
      </c>
      <c r="F28" s="7" t="str">
        <v>Amazon.com</v>
      </c>
      <c r="G28" s="7">
        <v>1</v>
      </c>
      <c r="H28" s="7">
        <v>0</v>
      </c>
      <c r="I28" s="7">
        <v>1</v>
      </c>
      <c r="J28" s="8">
        <v>0.35</v>
      </c>
      <c r="K28" s="9">
        <v>1.05</v>
      </c>
      <c r="L28" s="10"/>
      <c r="M28" s="10"/>
    </row>
    <row r="29" spans="1:13">
      <c r="A29" s="6">
        <v>45078</v>
      </c>
      <c r="B29" s="7" t="str">
        <v>All In The Soup Together</v>
      </c>
      <c r="C29" s="7" t="str">
        <v>Sulima Malzin</v>
      </c>
      <c r="D29" s="7" t="str">
        <v>Ebook</v>
      </c>
      <c r="E29" s="7" t="str">
        <v>Purchase</v>
      </c>
      <c r="F29" s="7" t="str">
        <v>Amazon.com</v>
      </c>
      <c r="G29" s="7">
        <v>1</v>
      </c>
      <c r="H29" s="7">
        <v>0</v>
      </c>
      <c r="I29" s="7">
        <v>1</v>
      </c>
      <c r="J29" s="11">
        <v>0.35</v>
      </c>
      <c r="K29" s="9">
        <v>0.35</v>
      </c>
      <c r="L29" s="10"/>
      <c r="M29" s="10"/>
    </row>
    <row r="30" spans="1:13">
      <c r="A30" s="6">
        <v>45078</v>
      </c>
      <c r="B30" s="7" t="str">
        <v>Arms Filled with Bittersweet</v>
      </c>
      <c r="C30" s="7" t="str">
        <v>Sulima Malzin</v>
      </c>
      <c r="D30" s="7" t="str">
        <v>Paperback</v>
      </c>
      <c r="E30" s="7" t="str">
        <v>Purchase</v>
      </c>
      <c r="F30" s="7" t="str">
        <v>Amazon.com</v>
      </c>
      <c r="G30" s="7">
        <v>1</v>
      </c>
      <c r="H30" s="7">
        <v>0</v>
      </c>
      <c r="I30" s="7">
        <v>1</v>
      </c>
      <c r="J30" s="11">
        <v>0.6</v>
      </c>
      <c r="K30" s="9">
        <v>5.64</v>
      </c>
      <c r="L30" s="10"/>
      <c r="M30" s="10"/>
    </row>
    <row r="31" spans="1:13">
      <c r="A31" s="6">
        <v>45078</v>
      </c>
      <c r="B31" s="7" t="str">
        <v>Arms Filled with Bittersweet</v>
      </c>
      <c r="C31" s="7" t="str">
        <v>Sulima Malzin</v>
      </c>
      <c r="D31" s="7" t="str">
        <v>Paperback</v>
      </c>
      <c r="E31" s="7" t="str">
        <v>Purchase</v>
      </c>
      <c r="F31" s="7" t="str">
        <v>Amazon.com</v>
      </c>
      <c r="G31" s="7">
        <v>1</v>
      </c>
      <c r="H31" s="7">
        <v>0</v>
      </c>
      <c r="I31" s="7">
        <v>1</v>
      </c>
      <c r="J31" s="8">
        <v>0.6</v>
      </c>
      <c r="K31" s="9">
        <v>5.64</v>
      </c>
      <c r="L31" s="10"/>
      <c r="M31" s="10"/>
    </row>
    <row r="32" spans="1:13">
      <c r="A32" s="6">
        <v>45139</v>
      </c>
      <c r="B32" s="7" t="str">
        <v>Arms Filled with Bittersweet</v>
      </c>
      <c r="C32" s="7" t="str">
        <v>Sulima Malzin</v>
      </c>
      <c r="D32" s="7" t="str">
        <v>Ebook</v>
      </c>
      <c r="E32" s="7" t="str">
        <v>KENP</v>
      </c>
      <c r="F32" s="7" t="str">
        <v>Amazon.ca</v>
      </c>
      <c r="G32" s="7">
        <v>107</v>
      </c>
      <c r="H32" s="7">
        <v>0</v>
      </c>
      <c r="I32" s="7">
        <v>0</v>
      </c>
      <c r="J32" s="8">
        <v>0</v>
      </c>
      <c r="K32" s="9">
        <v>0.47015800000000002</v>
      </c>
      <c r="L32" s="10"/>
      <c r="M32" s="10"/>
    </row>
    <row r="33" spans="1:13">
      <c r="A33" s="6">
        <v>45139</v>
      </c>
      <c r="B33" s="7" t="str">
        <v>(multiple)</v>
      </c>
      <c r="C33" s="7" t="str">
        <v>Sulima Malzin</v>
      </c>
      <c r="D33" s="7" t="str">
        <v>(multiple)</v>
      </c>
      <c r="E33" s="7" t="str">
        <v>Payment</v>
      </c>
      <c r="F33" s="7" t="str">
        <v>(multiple)</v>
      </c>
      <c r="G33" s="7">
        <v>0</v>
      </c>
      <c r="H33" s="7">
        <v>0</v>
      </c>
      <c r="I33" s="7">
        <v>0</v>
      </c>
      <c r="J33" s="8">
        <v>0</v>
      </c>
      <c r="K33" s="9">
        <v>-45</v>
      </c>
      <c r="L33" s="10"/>
      <c r="M33" s="10"/>
    </row>
    <row r="34" spans="1:13">
      <c r="A34" s="6">
        <v>45200</v>
      </c>
      <c r="B34" s="7" t="str">
        <v>Arms Filled with Bittersweet</v>
      </c>
      <c r="C34" s="7" t="str">
        <v>Sulima Malzin</v>
      </c>
      <c r="D34" s="7" t="str">
        <v>Ebook</v>
      </c>
      <c r="E34" s="7" t="str">
        <v>KENP</v>
      </c>
      <c r="F34" s="7" t="str">
        <v>Amazon.com</v>
      </c>
      <c r="G34" s="7">
        <v>4</v>
      </c>
      <c r="H34" s="7">
        <v>0</v>
      </c>
      <c r="I34" s="7">
        <v>0</v>
      </c>
      <c r="J34" s="8">
        <v>0</v>
      </c>
      <c r="K34" s="9">
        <v>1.7576000000000001E-2</v>
      </c>
      <c r="L34" s="10"/>
      <c r="M34" s="10"/>
    </row>
    <row r="35" spans="1:13">
      <c r="A35" s="6">
        <v>45203</v>
      </c>
      <c r="B35" s="7" t="str">
        <v>(multiple)</v>
      </c>
      <c r="C35" s="7" t="str">
        <v>Sulima Malzin</v>
      </c>
      <c r="D35" s="7" t="str">
        <v>(multiple)</v>
      </c>
      <c r="E35" s="7" t="str">
        <v>Payment</v>
      </c>
      <c r="F35" s="7" t="str">
        <v>(multiple)</v>
      </c>
      <c r="G35" s="7">
        <v>0</v>
      </c>
      <c r="H35" s="7">
        <v>0</v>
      </c>
      <c r="I35" s="7">
        <v>0</v>
      </c>
      <c r="J35" s="8">
        <v>0</v>
      </c>
      <c r="K35" s="9">
        <v>-22</v>
      </c>
      <c r="L35" s="10"/>
      <c r="M35" s="10"/>
    </row>
    <row r="36" spans="1:13">
      <c r="A36" s="6">
        <v>45231</v>
      </c>
      <c r="B36" s="7" t="str">
        <v>Arms Filled with Bittersweet</v>
      </c>
      <c r="C36" s="7" t="str">
        <v>Sulima Malzin</v>
      </c>
      <c r="D36" s="7" t="str">
        <v>Ebook</v>
      </c>
      <c r="E36" s="7" t="str">
        <v>KENP</v>
      </c>
      <c r="F36" s="7" t="str">
        <v>Amazon.com</v>
      </c>
      <c r="G36" s="7">
        <v>136</v>
      </c>
      <c r="H36" s="7">
        <v>0</v>
      </c>
      <c r="I36" s="7">
        <v>0</v>
      </c>
      <c r="J36" s="8">
        <v>0</v>
      </c>
      <c r="K36" s="9">
        <v>0.597584</v>
      </c>
      <c r="L36" s="10"/>
      <c r="M36" s="10"/>
    </row>
    <row r="37" spans="1:13">
      <c r="A37" s="6">
        <v>45259</v>
      </c>
      <c r="B37" s="7" t="str">
        <v>(multiple)</v>
      </c>
      <c r="C37" s="7" t="str">
        <v>Sulima Malzin</v>
      </c>
      <c r="D37" s="7" t="str">
        <v>(multiple)</v>
      </c>
      <c r="E37" s="7" t="str">
        <v>Payment</v>
      </c>
      <c r="F37" s="7" t="str">
        <v>(multiple)</v>
      </c>
      <c r="G37" s="7">
        <v>0</v>
      </c>
      <c r="H37" s="7">
        <v>0</v>
      </c>
      <c r="I37" s="7">
        <v>0</v>
      </c>
      <c r="J37" s="8">
        <v>0</v>
      </c>
      <c r="K37" s="9">
        <v>-16</v>
      </c>
      <c r="L37" s="10"/>
      <c r="M37" s="10"/>
    </row>
    <row r="38" spans="1:13">
      <c r="A38" s="6">
        <v>45261</v>
      </c>
      <c r="B38" s="7" t="str">
        <v>Words That Dance</v>
      </c>
      <c r="C38" s="7" t="str">
        <v>Sulima Malzin</v>
      </c>
      <c r="D38" s="7" t="str">
        <v>Paperback</v>
      </c>
      <c r="E38" s="7" t="str">
        <v>Purchase</v>
      </c>
      <c r="F38" s="7" t="str">
        <v>Amazon.com</v>
      </c>
      <c r="G38" s="7">
        <v>1</v>
      </c>
      <c r="H38" s="7">
        <v>0</v>
      </c>
      <c r="I38" s="7">
        <v>1</v>
      </c>
      <c r="J38" s="8">
        <v>0.6</v>
      </c>
      <c r="K38" s="9">
        <v>6.7</v>
      </c>
      <c r="L38" s="10"/>
      <c r="M38" s="10"/>
    </row>
    <row r="39" spans="1:13">
      <c r="A39" s="6">
        <v>45271</v>
      </c>
      <c r="B39" s="7" t="str">
        <v>(multiple)</v>
      </c>
      <c r="C39" s="7" t="str">
        <v>Sulima Malzin</v>
      </c>
      <c r="D39" s="7" t="str">
        <v>(multiple)</v>
      </c>
      <c r="E39" s="7" t="str">
        <v>Payment</v>
      </c>
      <c r="F39" s="7" t="str">
        <v>(multiple)</v>
      </c>
      <c r="G39" s="7">
        <v>0</v>
      </c>
      <c r="H39" s="7">
        <v>0</v>
      </c>
      <c r="I39" s="7">
        <v>0</v>
      </c>
      <c r="J39" s="11">
        <v>0</v>
      </c>
      <c r="K39" s="9">
        <v>-59</v>
      </c>
      <c r="L39" s="10"/>
      <c r="M39" s="10"/>
    </row>
    <row r="40" spans="1:13">
      <c r="A40" s="6">
        <v>45298</v>
      </c>
      <c r="B40" s="7" t="str">
        <v>(multiple)</v>
      </c>
      <c r="C40" s="7" t="str">
        <v>Sulima Malzin</v>
      </c>
      <c r="D40" s="7" t="str">
        <v>(multiple)</v>
      </c>
      <c r="E40" s="7" t="str">
        <v>Payment</v>
      </c>
      <c r="F40" s="7" t="str">
        <v>(multiple)</v>
      </c>
      <c r="G40" s="7">
        <v>0</v>
      </c>
      <c r="H40" s="7">
        <v>0</v>
      </c>
      <c r="I40" s="7">
        <v>0</v>
      </c>
      <c r="J40" s="11">
        <v>0</v>
      </c>
      <c r="K40" s="9">
        <v>-11</v>
      </c>
      <c r="L40" s="10"/>
      <c r="M40" s="10"/>
    </row>
    <row r="41" spans="1:13">
      <c r="A41" s="6">
        <v>45330</v>
      </c>
      <c r="B41" s="7" t="str">
        <v>(multiple)</v>
      </c>
      <c r="C41" s="7" t="str">
        <v>Sulima Malzin</v>
      </c>
      <c r="D41" s="7" t="str">
        <v>(multiple)</v>
      </c>
      <c r="E41" s="7" t="str">
        <v>Payment</v>
      </c>
      <c r="F41" s="7" t="str">
        <v>(multiple)</v>
      </c>
      <c r="G41" s="7">
        <v>0</v>
      </c>
      <c r="H41" s="7">
        <v>0</v>
      </c>
      <c r="I41" s="7">
        <v>0</v>
      </c>
      <c r="J41" s="8">
        <v>0</v>
      </c>
      <c r="K41" s="9">
        <v>-59</v>
      </c>
      <c r="L41" s="10"/>
      <c r="M41" s="10"/>
    </row>
    <row r="42" spans="1:13">
      <c r="A42" s="6">
        <v>45352</v>
      </c>
      <c r="B42" s="7" t="str">
        <v>Words That Dance</v>
      </c>
      <c r="C42" s="7" t="str">
        <v>Sulima Malzin</v>
      </c>
      <c r="D42" s="7" t="str">
        <v>Paperback</v>
      </c>
      <c r="E42" s="7" t="str">
        <v>Purchase</v>
      </c>
      <c r="F42" s="7" t="str">
        <v>Amazon.com</v>
      </c>
      <c r="G42" s="7">
        <v>1</v>
      </c>
      <c r="H42" s="7">
        <v>0</v>
      </c>
      <c r="I42" s="7">
        <v>1</v>
      </c>
      <c r="J42" s="11">
        <v>0.6</v>
      </c>
      <c r="K42" s="9">
        <v>6.7</v>
      </c>
      <c r="L42" s="10"/>
      <c r="M42" s="10"/>
    </row>
    <row r="43" spans="1:13">
      <c r="A43" s="6">
        <v>45383</v>
      </c>
      <c r="B43" s="7" t="str">
        <v>Tributaries</v>
      </c>
      <c r="C43" s="7" t="str">
        <v>Sulima Malzin</v>
      </c>
      <c r="D43" s="7" t="str">
        <v>Ebook</v>
      </c>
      <c r="E43" s="7" t="str">
        <v>Pre-order</v>
      </c>
      <c r="F43" s="7" t="str">
        <v>Amazon.com</v>
      </c>
      <c r="G43" s="7">
        <v>2</v>
      </c>
      <c r="H43" s="7">
        <v>0</v>
      </c>
      <c r="I43" s="7">
        <v>2</v>
      </c>
      <c r="J43" s="8">
        <v>0.35</v>
      </c>
      <c r="K43" s="9">
        <v>0.7</v>
      </c>
      <c r="L43" s="10"/>
      <c r="M43" s="10"/>
    </row>
    <row r="44" spans="1:13">
      <c r="A44" s="6">
        <v>45536</v>
      </c>
      <c r="B44" s="7" t="str">
        <v>Arms Filled with Bittersweet</v>
      </c>
      <c r="C44" s="7" t="str">
        <v>Sulima Malzin</v>
      </c>
      <c r="D44" s="7" t="str">
        <v>Ebook</v>
      </c>
      <c r="E44" s="7" t="str">
        <v>KENP</v>
      </c>
      <c r="F44" s="7" t="str">
        <v>Amazon.com</v>
      </c>
      <c r="G44" s="7">
        <v>136</v>
      </c>
      <c r="H44" s="7">
        <v>0</v>
      </c>
      <c r="I44" s="7">
        <v>0</v>
      </c>
      <c r="J44" s="11">
        <v>0</v>
      </c>
      <c r="K44" s="9">
        <v>0.597584</v>
      </c>
      <c r="L44" s="10"/>
      <c r="M44" s="10"/>
    </row>
    <row r="45" spans="1:13">
      <c r="A45" s="6">
        <v>45566</v>
      </c>
      <c r="B45" s="7" t="str">
        <v>Arms Filled with Bittersweet</v>
      </c>
      <c r="C45" s="7" t="str">
        <v>Sulima Malzin</v>
      </c>
      <c r="D45" s="7" t="str">
        <v>Paperback</v>
      </c>
      <c r="E45" s="7" t="str">
        <v>Purchase</v>
      </c>
      <c r="F45" s="7" t="str">
        <v>In person</v>
      </c>
      <c r="G45" s="7">
        <v>1</v>
      </c>
      <c r="H45" s="7">
        <v>0</v>
      </c>
      <c r="I45" s="7">
        <v>1</v>
      </c>
      <c r="J45" s="11">
        <v>1</v>
      </c>
      <c r="K45" s="9">
        <v>15</v>
      </c>
      <c r="L45" s="10"/>
      <c r="M45" s="10"/>
    </row>
    <row r="46" spans="1:13">
      <c r="A46" s="6">
        <v>45572</v>
      </c>
      <c r="B46" s="7" t="str">
        <v>(multiple)</v>
      </c>
      <c r="C46" s="7" t="str">
        <v>Sulima Malzin</v>
      </c>
      <c r="D46" s="7" t="str">
        <v>(multiple)</v>
      </c>
      <c r="E46" s="7" t="str">
        <v>Payment</v>
      </c>
      <c r="F46" s="7" t="str">
        <v>(multiple)</v>
      </c>
      <c r="G46" s="7">
        <v>0</v>
      </c>
      <c r="H46" s="7">
        <v>0</v>
      </c>
      <c r="I46" s="7">
        <v>0</v>
      </c>
      <c r="J46" s="8">
        <v>0</v>
      </c>
      <c r="K46" s="9">
        <v>-31</v>
      </c>
      <c r="L46" s="10"/>
      <c r="M46" s="10"/>
    </row>
    <row r="47" spans="1:13">
      <c r="A47" s="6">
        <v>45689</v>
      </c>
      <c r="B47" s="7" t="str">
        <v>Tributaries</v>
      </c>
      <c r="C47" s="7" t="str">
        <v>Sulima Malzin</v>
      </c>
      <c r="D47" s="7" t="str">
        <v>Paperback</v>
      </c>
      <c r="E47" s="7" t="str">
        <v>Purchase</v>
      </c>
      <c r="F47" s="7" t="str">
        <v>Amazon.co.uk</v>
      </c>
      <c r="G47" s="7">
        <v>1</v>
      </c>
      <c r="H47" s="7">
        <v>0</v>
      </c>
      <c r="I47" s="7">
        <v>1</v>
      </c>
      <c r="J47" s="8">
        <v>0.6</v>
      </c>
      <c r="K47" s="9">
        <v>2.33</v>
      </c>
      <c r="L47" s="10"/>
      <c r="M47" s="10"/>
    </row>
    <row r="48" spans="1:13">
      <c r="A48" s="6">
        <v>45689</v>
      </c>
      <c r="B48" s="7" t="str">
        <v>Words That Dance</v>
      </c>
      <c r="C48" s="7" t="str">
        <v>Sulima Malzin</v>
      </c>
      <c r="D48" s="7" t="str">
        <v>Paperback</v>
      </c>
      <c r="E48" s="7" t="str">
        <v>Purchase</v>
      </c>
      <c r="F48" s="7" t="str">
        <v>Amazon.co.uk</v>
      </c>
      <c r="G48" s="7">
        <v>1</v>
      </c>
      <c r="H48" s="7">
        <v>0</v>
      </c>
      <c r="I48" s="7">
        <v>1</v>
      </c>
      <c r="J48" s="8">
        <v>0.6</v>
      </c>
      <c r="K48" s="9">
        <v>3.39</v>
      </c>
      <c r="L48" s="10"/>
      <c r="M48" s="10"/>
    </row>
    <row r="49" spans="1:13">
      <c r="A49" s="6">
        <v>45689</v>
      </c>
      <c r="B49" s="7" t="str">
        <v>Arms Filled with Bittersweet</v>
      </c>
      <c r="C49" s="7" t="str">
        <v>Sulima Malzin</v>
      </c>
      <c r="D49" s="7" t="str">
        <v>Paperback</v>
      </c>
      <c r="E49" s="7" t="str">
        <v>Purchase</v>
      </c>
      <c r="F49" s="7" t="str">
        <v>Amazon.co.uk</v>
      </c>
      <c r="G49" s="7">
        <v>1</v>
      </c>
      <c r="H49" s="7">
        <v>0</v>
      </c>
      <c r="I49" s="7">
        <v>1</v>
      </c>
      <c r="J49" s="8">
        <v>0.6</v>
      </c>
      <c r="K49" s="9">
        <v>4.1100000000000003</v>
      </c>
      <c r="L49" s="10"/>
      <c r="M49" s="10"/>
    </row>
    <row r="50" spans="1:13">
      <c r="A50" s="6">
        <v>45748</v>
      </c>
      <c r="B50" s="7" t="str">
        <v>Arms Filled with Bittersweet</v>
      </c>
      <c r="C50" s="7" t="str">
        <v>Sulima Malzin</v>
      </c>
      <c r="D50" s="7" t="str">
        <v>Paperback</v>
      </c>
      <c r="E50" s="7" t="str">
        <v>Purchase</v>
      </c>
      <c r="F50" s="7" t="str">
        <v>Amazon.com</v>
      </c>
      <c r="G50" s="7">
        <v>1</v>
      </c>
      <c r="H50" s="7">
        <v>0</v>
      </c>
      <c r="I50" s="7">
        <v>1</v>
      </c>
      <c r="J50" s="8">
        <v>0.6</v>
      </c>
      <c r="K50" s="9">
        <v>5.35</v>
      </c>
      <c r="L50" s="10"/>
      <c r="M50" s="10"/>
    </row>
    <row r="51" spans="1:13">
      <c r="A51" s="6">
        <v>45748</v>
      </c>
      <c r="B51" s="7" t="str">
        <v>Arms Filled with Bittersweet</v>
      </c>
      <c r="C51" s="7" t="str">
        <v>Sulima Malzin</v>
      </c>
      <c r="D51" s="7" t="str">
        <v>Paperback</v>
      </c>
      <c r="E51" s="7" t="str">
        <v>Purchase</v>
      </c>
      <c r="F51" s="7" t="str">
        <v>Amazon.com</v>
      </c>
      <c r="G51" s="7">
        <v>1</v>
      </c>
      <c r="H51" s="7">
        <v>0</v>
      </c>
      <c r="I51" s="7">
        <v>1</v>
      </c>
      <c r="J51" s="11">
        <v>0.6</v>
      </c>
      <c r="K51" s="9">
        <v>5.35</v>
      </c>
      <c r="L51" s="10"/>
      <c r="M51" s="10"/>
    </row>
    <row r="52" spans="1:13">
      <c r="A52" s="6">
        <v>45748</v>
      </c>
      <c r="B52" s="7" t="str">
        <v>Arms Filled with Bittersweet</v>
      </c>
      <c r="C52" s="7" t="str">
        <v>Sulima Malzin</v>
      </c>
      <c r="D52" s="7" t="str">
        <v>Paperback</v>
      </c>
      <c r="E52" s="7" t="str">
        <v>Purchase</v>
      </c>
      <c r="F52" s="7" t="str">
        <v>Amazon.com</v>
      </c>
      <c r="G52" s="7">
        <v>1</v>
      </c>
      <c r="H52" s="7">
        <v>0</v>
      </c>
      <c r="I52" s="7">
        <v>1</v>
      </c>
      <c r="J52" s="11">
        <v>0.6</v>
      </c>
      <c r="K52" s="9">
        <v>5.35</v>
      </c>
      <c r="L52" s="10"/>
      <c r="M52" s="10"/>
    </row>
    <row r="53" spans="1:13">
      <c r="A53" s="6">
        <v>45748</v>
      </c>
      <c r="B53" s="7" t="str">
        <v>Arms Filled with Bittersweet</v>
      </c>
      <c r="C53" s="7" t="str">
        <v>Sulima Malzin</v>
      </c>
      <c r="D53" s="7" t="str">
        <v>Paperback</v>
      </c>
      <c r="E53" s="7" t="str">
        <v>Payment</v>
      </c>
      <c r="F53" s="7" t="str">
        <v>Amazon.com</v>
      </c>
      <c r="G53" s="7">
        <v>0</v>
      </c>
      <c r="H53" s="7">
        <v>0</v>
      </c>
      <c r="I53" s="7">
        <v>0</v>
      </c>
      <c r="J53" s="8">
        <v>0</v>
      </c>
      <c r="K53" s="9">
        <v>-16.05</v>
      </c>
      <c r="L53" s="10"/>
      <c r="M53" s="10"/>
    </row>
    <row r="54" spans="1:13">
      <c r="A54" s="6">
        <v>45778</v>
      </c>
      <c r="B54" s="7" t="str">
        <v>Tributaries</v>
      </c>
      <c r="C54" s="7" t="str">
        <v>Sulima Malzin</v>
      </c>
      <c r="D54" s="7" t="str">
        <v>Paperback</v>
      </c>
      <c r="E54" s="7" t="str">
        <v>Purchase</v>
      </c>
      <c r="F54" s="7" t="str">
        <v>Amazon.com</v>
      </c>
      <c r="G54" s="7">
        <v>1</v>
      </c>
      <c r="H54" s="7">
        <v>0</v>
      </c>
      <c r="I54" s="7">
        <v>0</v>
      </c>
      <c r="J54" s="8">
        <v>1</v>
      </c>
      <c r="K54" s="9">
        <v>3.1</v>
      </c>
      <c r="L54" s="10"/>
      <c r="M54" s="10"/>
    </row>
    <row r="55" spans="1:13">
      <c r="A55" s="6">
        <v>45778</v>
      </c>
      <c r="B55" s="7" t="str">
        <v>Words That Dance</v>
      </c>
      <c r="C55" s="7" t="str">
        <v>Sulima Malzin</v>
      </c>
      <c r="D55" s="7" t="str">
        <v>Paperback</v>
      </c>
      <c r="E55" s="7" t="str">
        <v>Purchase</v>
      </c>
      <c r="F55" s="7" t="str">
        <v>Amazon.com</v>
      </c>
      <c r="G55" s="7">
        <v>1</v>
      </c>
      <c r="H55" s="7">
        <v>0</v>
      </c>
      <c r="I55" s="7">
        <v>0</v>
      </c>
      <c r="J55" s="8">
        <v>1</v>
      </c>
      <c r="K55" s="9">
        <v>4.45</v>
      </c>
      <c r="L55" s="10"/>
      <c r="M55" s="10"/>
    </row>
    <row r="56" spans="1:13">
      <c r="A56" s="6">
        <v>45778</v>
      </c>
      <c r="B56" s="7" t="str">
        <v>All In The Soup Together</v>
      </c>
      <c r="C56" s="7" t="str">
        <v>Sulima Malzin</v>
      </c>
      <c r="D56" s="7" t="str">
        <v>Paperback</v>
      </c>
      <c r="E56" s="7" t="str">
        <v>Purchase</v>
      </c>
      <c r="F56" s="7" t="str">
        <v>Amazon.com</v>
      </c>
      <c r="G56" s="7">
        <v>1</v>
      </c>
      <c r="H56" s="7">
        <v>0</v>
      </c>
      <c r="I56" s="7">
        <v>0</v>
      </c>
      <c r="J56" s="8">
        <v>1</v>
      </c>
      <c r="K56" s="9">
        <v>6.7</v>
      </c>
      <c r="L56" s="10"/>
      <c r="M56" s="10"/>
    </row>
    <row r="57" spans="1:13">
      <c r="A57" s="6">
        <v>45809</v>
      </c>
      <c r="B57" s="7" t="str">
        <v>Arms Filled with Bittersweet</v>
      </c>
      <c r="C57" s="7" t="str">
        <v>Sulima Malzin</v>
      </c>
      <c r="D57" s="7" t="str">
        <v>Paperback</v>
      </c>
      <c r="E57" s="7" t="str">
        <v>Purchase</v>
      </c>
      <c r="F57" s="7" t="str">
        <v>Amazon.com</v>
      </c>
      <c r="G57" s="7">
        <v>1</v>
      </c>
      <c r="H57" s="7">
        <v>0</v>
      </c>
      <c r="I57" s="7">
        <v>0</v>
      </c>
      <c r="J57" s="11">
        <v>1</v>
      </c>
      <c r="K57" s="9">
        <v>2.04</v>
      </c>
      <c r="L57" s="10"/>
      <c r="M57" s="10"/>
    </row>
    <row r="58" spans="1:13">
      <c r="A58" s="6">
        <v>45809</v>
      </c>
      <c r="B58" s="7" t="str">
        <v>Arms Filled with Bittersweet</v>
      </c>
      <c r="C58" s="7" t="str">
        <v>Sulima Malzin</v>
      </c>
      <c r="D58" s="7" t="str">
        <v>Paperback</v>
      </c>
      <c r="E58" s="7" t="str">
        <v>Purchase</v>
      </c>
      <c r="F58" s="7" t="str">
        <v>Amazon.com</v>
      </c>
      <c r="G58" s="7">
        <v>1</v>
      </c>
      <c r="H58" s="7">
        <v>0</v>
      </c>
      <c r="I58" s="7">
        <v>0</v>
      </c>
      <c r="J58" s="8">
        <v>1</v>
      </c>
      <c r="K58" s="9">
        <v>2.04</v>
      </c>
      <c r="L58" s="10"/>
      <c r="M58" s="10"/>
    </row>
    <row r="59" spans="1:13">
      <c r="A59" s="6">
        <v>45839</v>
      </c>
      <c r="B59" s="7" t="str">
        <v>Tributaries</v>
      </c>
      <c r="C59" s="7" t="str">
        <v>Sulima Malzin</v>
      </c>
      <c r="D59" s="7" t="str">
        <v>Paperback</v>
      </c>
      <c r="E59" s="7" t="str">
        <v>Printing cost (50)</v>
      </c>
      <c r="F59" s="7" t="str">
        <v>Amazon.com</v>
      </c>
      <c r="G59" s="7">
        <v>1</v>
      </c>
      <c r="H59" s="7">
        <v>0</v>
      </c>
      <c r="I59" s="7">
        <v>1</v>
      </c>
      <c r="J59" s="11">
        <v>1</v>
      </c>
      <c r="K59" s="9">
        <v>-135.24</v>
      </c>
      <c r="L59" s="10"/>
      <c r="M59" s="10"/>
    </row>
    <row r="60" spans="1:13">
      <c r="A60" s="6">
        <v>45839</v>
      </c>
      <c r="B60" s="7" t="str">
        <v>Business cards</v>
      </c>
      <c r="C60" s="7" t="str">
        <v>Sulima Malzin</v>
      </c>
      <c r="D60" s="7" t="str">
        <v>Cards</v>
      </c>
      <c r="E60" s="7" t="str">
        <v>Printing cost (250)</v>
      </c>
      <c r="F60" s="7" t="str">
        <v>Vistaprint</v>
      </c>
      <c r="G60" s="7">
        <v>1</v>
      </c>
      <c r="H60" s="7">
        <v>0</v>
      </c>
      <c r="I60" s="7">
        <v>1</v>
      </c>
      <c r="J60" s="11">
        <v>1</v>
      </c>
      <c r="K60" s="9">
        <v>-43.98</v>
      </c>
      <c r="L60" s="10"/>
      <c r="M60" s="10"/>
    </row>
    <row r="61" spans="1:13">
      <c r="A61" s="6">
        <v>45839</v>
      </c>
      <c r="B61" s="7" t="str">
        <v>Buymeacoffee</v>
      </c>
      <c r="C61" s="7" t="str">
        <v>Sulima Malzin</v>
      </c>
      <c r="D61" s="7" t="str">
        <v>Support</v>
      </c>
      <c r="E61" s="7" t="str">
        <v>Receipt</v>
      </c>
      <c r="F61" s="7" t="str">
        <v>Buymeacoffee</v>
      </c>
      <c r="G61" s="7">
        <v>1</v>
      </c>
      <c r="H61" s="7">
        <v>0</v>
      </c>
      <c r="I61" s="7">
        <v>1</v>
      </c>
      <c r="J61" s="8">
        <v>1</v>
      </c>
      <c r="K61" s="9">
        <v>22.31</v>
      </c>
      <c r="L61" s="10"/>
      <c r="M61" s="10"/>
    </row>
    <row r="62" spans="1:13">
      <c r="A62" s="6">
        <v>45839</v>
      </c>
      <c r="B62" s="7" t="str">
        <v>Buymeacoffee</v>
      </c>
      <c r="C62" s="7" t="str">
        <v>Sulima Malzin</v>
      </c>
      <c r="D62" s="7" t="str">
        <v>Support</v>
      </c>
      <c r="E62" s="7" t="str">
        <v>Receipt</v>
      </c>
      <c r="F62" s="7" t="str">
        <v>Buymeacoffee</v>
      </c>
      <c r="G62" s="7">
        <v>1</v>
      </c>
      <c r="H62" s="7">
        <v>0</v>
      </c>
      <c r="I62" s="7">
        <v>1</v>
      </c>
      <c r="J62" s="8">
        <v>1</v>
      </c>
      <c r="K62" s="9">
        <v>22.31</v>
      </c>
      <c r="L62" s="10"/>
      <c r="M62" s="10"/>
    </row>
    <row r="63" spans="1:13">
      <c r="A63" s="6">
        <v>45839</v>
      </c>
      <c r="B63" s="7" t="str">
        <v>NIWA</v>
      </c>
      <c r="C63" s="7" t="str">
        <v>Sulima Malzin</v>
      </c>
      <c r="D63" s="7" t="str">
        <v>NIWA Mt. Angel</v>
      </c>
      <c r="E63" s="7" t="str">
        <v>Purchase</v>
      </c>
      <c r="F63" s="7" t="str">
        <v>NIWA</v>
      </c>
      <c r="G63" s="7">
        <v>4</v>
      </c>
      <c r="H63" s="7">
        <v>0</v>
      </c>
      <c r="I63" s="7">
        <v>1</v>
      </c>
      <c r="J63" s="11">
        <v>1</v>
      </c>
      <c r="K63" s="9">
        <v>-20</v>
      </c>
      <c r="L63" s="10"/>
      <c r="M63" s="10"/>
    </row>
    <row r="64" spans="1:13">
      <c r="A64" s="6">
        <v>45839</v>
      </c>
      <c r="B64" s="7" t="str">
        <v>Tributaries (misprint)</v>
      </c>
      <c r="C64" s="7" t="str">
        <v>Sulima Malzin</v>
      </c>
      <c r="D64" s="7" t="str">
        <v>Paperback</v>
      </c>
      <c r="E64" s="7" t="str">
        <v>Refund</v>
      </c>
      <c r="F64" s="7" t="str">
        <v>Amazon.com</v>
      </c>
      <c r="G64" s="7">
        <v>1</v>
      </c>
      <c r="H64" s="7">
        <v>0</v>
      </c>
      <c r="I64" s="7">
        <v>1</v>
      </c>
      <c r="J64" s="8">
        <v>1</v>
      </c>
      <c r="K64" s="9">
        <v>20</v>
      </c>
      <c r="L64" s="10"/>
      <c r="M64" s="10"/>
    </row>
    <row r="65" spans="1:13">
      <c r="A65" s="6">
        <v>45839</v>
      </c>
      <c r="B65" s="7" t="str">
        <v>Tributaries</v>
      </c>
      <c r="C65" s="7" t="str">
        <v>Sulima Malzin</v>
      </c>
      <c r="D65" s="7" t="str">
        <v>Paperback</v>
      </c>
      <c r="E65" s="7" t="str">
        <v>Printing repayment</v>
      </c>
      <c r="F65" s="7" t="str">
        <v>Amazon.com</v>
      </c>
      <c r="G65" s="7">
        <v>1</v>
      </c>
      <c r="H65" s="7">
        <v>0</v>
      </c>
      <c r="I65" s="7">
        <v>1</v>
      </c>
      <c r="J65" s="8">
        <v>1</v>
      </c>
      <c r="K65" s="9">
        <v>135.24</v>
      </c>
      <c r="L65" s="10"/>
      <c r="M65" s="10"/>
    </row>
    <row r="66" spans="1:13">
      <c r="A66" s="6">
        <v>45870</v>
      </c>
      <c r="B66" s="7" t="str">
        <v>Buymeacoffee</v>
      </c>
      <c r="C66" s="7" t="str">
        <v>Sulima Malzin</v>
      </c>
      <c r="D66" s="7" t="str">
        <v>Support</v>
      </c>
      <c r="E66" s="7" t="str">
        <v>Receipt</v>
      </c>
      <c r="F66" s="7" t="str">
        <v>Buymeacoffee</v>
      </c>
      <c r="G66" s="7">
        <v>1</v>
      </c>
      <c r="H66" s="7">
        <v>0</v>
      </c>
      <c r="I66" s="7">
        <v>1</v>
      </c>
      <c r="J66" s="8">
        <v>1</v>
      </c>
      <c r="K66" s="9">
        <v>22.9</v>
      </c>
      <c r="L66" s="10"/>
      <c r="M66" s="10"/>
    </row>
    <row r="67" spans="1:13">
      <c r="A67" s="6">
        <v>45870</v>
      </c>
      <c r="B67" s="7" t="str">
        <v>Buymeacoffee</v>
      </c>
      <c r="C67" s="7" t="str">
        <v>Sulima Malzin</v>
      </c>
      <c r="D67" s="7" t="str">
        <v>Support</v>
      </c>
      <c r="E67" s="7" t="str">
        <v>Receipt</v>
      </c>
      <c r="F67" s="7" t="str">
        <v>Buymeacoffee</v>
      </c>
      <c r="G67" s="7">
        <v>1</v>
      </c>
      <c r="H67" s="7">
        <v>0</v>
      </c>
      <c r="I67" s="7">
        <v>1</v>
      </c>
      <c r="J67" s="8">
        <v>1</v>
      </c>
      <c r="K67" s="9">
        <v>13.44</v>
      </c>
      <c r="L67" s="10"/>
      <c r="M67" s="10"/>
    </row>
    <row r="68" spans="1:13">
      <c r="A68" s="6">
        <v>45901</v>
      </c>
      <c r="B68" s="7" t="str">
        <v>Buymeacoffee</v>
      </c>
      <c r="C68" s="7" t="str">
        <v>Sulima Malzin</v>
      </c>
      <c r="D68" s="7" t="str">
        <v>Support</v>
      </c>
      <c r="E68" s="7" t="str">
        <v>Receipt</v>
      </c>
      <c r="F68" s="7" t="str">
        <v>Buymeacoffee</v>
      </c>
      <c r="G68" s="7">
        <v>1</v>
      </c>
      <c r="H68" s="7">
        <v>0</v>
      </c>
      <c r="I68" s="7">
        <v>1</v>
      </c>
      <c r="J68" s="8">
        <v>1</v>
      </c>
      <c r="K68" s="9">
        <v>23</v>
      </c>
      <c r="L68" s="10"/>
      <c r="M68" s="10"/>
    </row>
    <row r="69" spans="1:13">
      <c r="A69" s="6">
        <v>45901</v>
      </c>
      <c r="B69" s="7" t="str">
        <v>Buymeacoffee</v>
      </c>
      <c r="C69" s="7" t="str">
        <v>Sulima Malzin</v>
      </c>
      <c r="D69" s="7" t="str">
        <v>Support</v>
      </c>
      <c r="E69" s="7" t="str">
        <v>Receipt</v>
      </c>
      <c r="F69" s="7" t="str">
        <v>Buymeacoffee</v>
      </c>
      <c r="G69" s="7">
        <v>1</v>
      </c>
      <c r="H69" s="7">
        <v>0</v>
      </c>
      <c r="I69" s="7">
        <v>1</v>
      </c>
      <c r="J69" s="8">
        <v>1</v>
      </c>
      <c r="K69" s="9">
        <v>13.63</v>
      </c>
      <c r="L69" s="10"/>
      <c r="M69" s="10"/>
    </row>
    <row r="70" spans="1:13">
      <c r="A70" s="6">
        <v>45931</v>
      </c>
      <c r="B70" s="7" t="str">
        <v>Buymeacoffee</v>
      </c>
      <c r="C70" s="7" t="str">
        <v>Sulima Malzin</v>
      </c>
      <c r="D70" s="7" t="str">
        <v>Support</v>
      </c>
      <c r="E70" s="7" t="str">
        <v>Receipt</v>
      </c>
      <c r="F70" s="7" t="str">
        <v>Buymeacoffee</v>
      </c>
      <c r="G70" s="7">
        <v>1</v>
      </c>
      <c r="H70" s="7">
        <v>0</v>
      </c>
      <c r="I70" s="7">
        <v>1</v>
      </c>
      <c r="J70" s="8">
        <v>1</v>
      </c>
      <c r="K70" s="9">
        <v>4.26</v>
      </c>
      <c r="L70" s="10"/>
      <c r="M70" s="10"/>
    </row>
    <row r="71" spans="1:13">
      <c r="A71" s="6">
        <v>45931</v>
      </c>
      <c r="B71" s="7" t="str">
        <v>Buymeacoffee</v>
      </c>
      <c r="C71" s="7" t="str">
        <v>Sulima Malzin</v>
      </c>
      <c r="D71" s="7" t="str">
        <v>Support</v>
      </c>
      <c r="E71" s="7" t="str">
        <v>Receipt</v>
      </c>
      <c r="F71" s="7" t="str">
        <v>Buymeacoffee</v>
      </c>
      <c r="G71" s="7">
        <v>1</v>
      </c>
      <c r="H71" s="7">
        <v>0</v>
      </c>
      <c r="I71" s="7">
        <v>1</v>
      </c>
      <c r="J71" s="8">
        <v>1</v>
      </c>
      <c r="K71" s="9">
        <v>13.63</v>
      </c>
      <c r="L71" s="10"/>
      <c r="M71" s="10"/>
    </row>
    <row r="72" spans="1:13">
      <c r="A72" s="6">
        <v>45931</v>
      </c>
      <c r="B72" s="7" t="str">
        <v>Buymeacoffee</v>
      </c>
      <c r="C72" s="7" t="str">
        <v>Sulima Malzin</v>
      </c>
      <c r="D72" s="7" t="str">
        <v>Support</v>
      </c>
      <c r="E72" s="7" t="str">
        <v>Payment</v>
      </c>
      <c r="F72" s="7" t="str">
        <v>Buymeacoffee</v>
      </c>
      <c r="G72" s="7">
        <v>0</v>
      </c>
      <c r="H72" s="7">
        <v>0</v>
      </c>
      <c r="I72" s="7">
        <v>0</v>
      </c>
      <c r="J72" s="8">
        <v>1</v>
      </c>
      <c r="K72" s="9">
        <v>-40.049999999999997</v>
      </c>
      <c r="L72" s="10"/>
      <c r="M72" s="10"/>
    </row>
    <row r="73" spans="1:13">
      <c r="A73" s="6">
        <v>45962</v>
      </c>
      <c r="B73" s="7" t="str">
        <v>Tributaries</v>
      </c>
      <c r="C73" s="7" t="str">
        <v>Sulima Malzin</v>
      </c>
      <c r="D73" s="7" t="str">
        <v>Ebook</v>
      </c>
      <c r="E73" s="7" t="str">
        <v>KENP</v>
      </c>
      <c r="F73" s="7" t="str">
        <v>Amazon.com</v>
      </c>
      <c r="G73" s="7">
        <v>0</v>
      </c>
      <c r="H73" s="7">
        <v>0</v>
      </c>
      <c r="I73" s="7">
        <v>0</v>
      </c>
      <c r="J73" s="8">
        <v>1</v>
      </c>
      <c r="K73" s="9">
        <v>7.0000000000000007E-2</v>
      </c>
      <c r="L73" s="10"/>
      <c r="M73" s="10"/>
    </row>
    <row r="74" spans="1:13">
      <c r="A74" s="6">
        <v>45962</v>
      </c>
      <c r="B74" s="7" t="str">
        <v>Buymeacoffee</v>
      </c>
      <c r="C74" s="7" t="str">
        <v>Sulima Malzin</v>
      </c>
      <c r="D74" s="7" t="str">
        <v>Support</v>
      </c>
      <c r="E74" s="7" t="str">
        <v>Receipt</v>
      </c>
      <c r="F74" s="7" t="str">
        <v>Buymeacoffee</v>
      </c>
      <c r="G74" s="7">
        <v>1</v>
      </c>
      <c r="H74" s="7">
        <v>0</v>
      </c>
      <c r="I74" s="7">
        <v>1</v>
      </c>
      <c r="J74" s="8">
        <v>1</v>
      </c>
      <c r="K74" s="9">
        <v>23</v>
      </c>
      <c r="L74" s="10"/>
      <c r="M74" s="10"/>
    </row>
    <row r="75" spans="1:13">
      <c r="A75" s="6">
        <v>45992</v>
      </c>
      <c r="B75" s="7" t="str">
        <v>Buymeacoffee</v>
      </c>
      <c r="C75" s="7" t="str">
        <v>Sulima Malzin</v>
      </c>
      <c r="D75" s="7" t="str">
        <v>Support</v>
      </c>
      <c r="E75" s="7" t="str">
        <v>Payment</v>
      </c>
      <c r="F75" s="7" t="str">
        <v>Buymeacoffee</v>
      </c>
      <c r="G75" s="7">
        <v>0</v>
      </c>
      <c r="H75" s="7">
        <v>0</v>
      </c>
      <c r="I75" s="7">
        <v>0</v>
      </c>
      <c r="J75" s="8">
        <v>1</v>
      </c>
      <c r="K75" s="9">
        <v>-73.88</v>
      </c>
      <c r="L75" s="10"/>
      <c r="M75" s="10"/>
    </row>
    <row r="76" spans="1:13">
      <c r="A76" s="6">
        <v>45992</v>
      </c>
      <c r="B76" s="7" t="str">
        <v>Buymeacoffee</v>
      </c>
      <c r="C76" s="7" t="str">
        <v>Sulima Malzin</v>
      </c>
      <c r="D76" s="7" t="str">
        <v>Support</v>
      </c>
      <c r="E76" s="7" t="str">
        <v>Receipt</v>
      </c>
      <c r="F76" s="7" t="str">
        <v>Buymeacoffee</v>
      </c>
      <c r="G76" s="7">
        <v>1</v>
      </c>
      <c r="H76" s="7">
        <v>0</v>
      </c>
      <c r="I76" s="7">
        <v>1</v>
      </c>
      <c r="J76" s="8">
        <v>1</v>
      </c>
      <c r="K76" s="9">
        <v>50</v>
      </c>
      <c r="L76" s="10"/>
      <c r="M76" s="10"/>
    </row>
    <row r="77" spans="1:13">
      <c r="A77" s="6">
        <v>45992</v>
      </c>
      <c r="B77" s="7" t="str">
        <v>Buymeacoffee</v>
      </c>
      <c r="C77" s="7" t="str">
        <v>Sulima Malzin</v>
      </c>
      <c r="D77" s="7" t="str">
        <v>Support</v>
      </c>
      <c r="E77" s="7" t="str">
        <v>Payment</v>
      </c>
      <c r="F77" s="7" t="str">
        <v>Buymeacoffee</v>
      </c>
      <c r="G77" s="7">
        <v>0</v>
      </c>
      <c r="H77" s="7">
        <v>0</v>
      </c>
      <c r="I77" s="7">
        <v>0</v>
      </c>
      <c r="J77" s="8">
        <v>1</v>
      </c>
      <c r="K77" s="9">
        <v>-46</v>
      </c>
      <c r="L77" s="10"/>
      <c r="M77" s="10"/>
    </row>
    <row r="78" spans="1:13">
      <c r="A78" s="6">
        <v>45992</v>
      </c>
      <c r="B78" s="7" t="str">
        <v>Buymeacoffee</v>
      </c>
      <c r="C78" s="7" t="str">
        <v>Sulima Malzin</v>
      </c>
      <c r="D78" s="7" t="str">
        <v>Support</v>
      </c>
      <c r="E78" s="7" t="str">
        <v>Receipt</v>
      </c>
      <c r="F78" s="7" t="str">
        <v>Buymeacoffee</v>
      </c>
      <c r="G78" s="7">
        <v>1</v>
      </c>
      <c r="H78" s="7">
        <v>0</v>
      </c>
      <c r="I78" s="7">
        <v>1</v>
      </c>
      <c r="J78" s="8">
        <v>1</v>
      </c>
      <c r="K78" s="9">
        <v>5</v>
      </c>
      <c r="L78" s="10"/>
      <c r="M78" s="10"/>
    </row>
    <row r="79" spans="1:13">
      <c r="J79" s="8"/>
      <c r="K79" s="9"/>
      <c r="L79" s="10"/>
      <c r="M79" s="10"/>
    </row>
    <row r="80" spans="1:13">
      <c r="J80" s="8"/>
      <c r="K80" s="9"/>
      <c r="L80" s="10"/>
      <c r="M80" s="10"/>
    </row>
    <row r="81" spans="10:13">
      <c r="J81" s="8"/>
      <c r="K81" s="9"/>
      <c r="L81" s="10"/>
      <c r="M81" s="10"/>
    </row>
    <row r="82" spans="10:13">
      <c r="J82" s="8"/>
      <c r="K82" s="9"/>
      <c r="L82" s="10"/>
      <c r="M82" s="10"/>
    </row>
    <row r="83" spans="10:13">
      <c r="J83" s="8"/>
      <c r="K83" s="9"/>
      <c r="L83" s="10"/>
      <c r="M83" s="10"/>
    </row>
    <row r="84" spans="10:13">
      <c r="J84" s="8"/>
      <c r="K84" s="9"/>
      <c r="L84" s="10"/>
      <c r="M84" s="10"/>
    </row>
    <row r="85" spans="10:13">
      <c r="J85" s="8"/>
      <c r="K85" s="9"/>
      <c r="L85" s="10"/>
      <c r="M85" s="10"/>
    </row>
    <row r="86" spans="10:13">
      <c r="J86" s="11"/>
      <c r="K86" s="9"/>
      <c r="L86" s="10"/>
      <c r="M86" s="10"/>
    </row>
    <row r="87" spans="10:13">
      <c r="J87" s="11"/>
      <c r="K87" s="9"/>
      <c r="L87" s="10"/>
      <c r="M87" s="10"/>
    </row>
    <row r="88" spans="10:13">
      <c r="J88" s="11"/>
      <c r="K88" s="9"/>
    </row>
    <row r="89" spans="10:13">
      <c r="J89" s="8"/>
      <c r="K89" s="9"/>
    </row>
    <row r="90" spans="10:13">
      <c r="J90" s="8"/>
      <c r="K90" s="9"/>
    </row>
    <row r="91" spans="10:13">
      <c r="J91" s="8"/>
      <c r="K91" s="9"/>
    </row>
    <row r="92" spans="10:13">
      <c r="J92" s="11"/>
      <c r="K92" s="9"/>
    </row>
    <row r="93" spans="10:13">
      <c r="J93" s="11"/>
      <c r="K93" s="9"/>
    </row>
    <row r="94" spans="10:13">
      <c r="J94" s="11"/>
      <c r="K94" s="9"/>
    </row>
    <row r="95" spans="10:13">
      <c r="J95" s="8"/>
      <c r="K95" s="9"/>
    </row>
    <row r="96" spans="10:13">
      <c r="J96" s="8"/>
      <c r="K96" s="9"/>
    </row>
    <row r="97" spans="10:11">
      <c r="J97" s="8"/>
      <c r="K97" s="9"/>
    </row>
    <row r="98" spans="10:11">
      <c r="J98" s="8"/>
      <c r="K98" s="9"/>
    </row>
    <row r="99" spans="10:11">
      <c r="J99" s="8"/>
      <c r="K99" s="9"/>
    </row>
    <row r="100" spans="10:11">
      <c r="J100" s="11"/>
      <c r="K100" s="9"/>
    </row>
    <row r="101" spans="10:11">
      <c r="J101" s="8"/>
      <c r="K101" s="9"/>
    </row>
    <row r="102" spans="10:11">
      <c r="J102" s="8"/>
      <c r="K102" s="9"/>
    </row>
    <row r="103" spans="10:11">
      <c r="J103" s="8"/>
      <c r="K103" s="9"/>
    </row>
    <row r="104" spans="10:11">
      <c r="J104" s="8"/>
      <c r="K104" s="9"/>
    </row>
    <row r="105" spans="10:11">
      <c r="J105" s="8"/>
      <c r="K105" s="9"/>
    </row>
    <row r="106" spans="10:11">
      <c r="J106" s="8"/>
      <c r="K106" s="9"/>
    </row>
    <row r="107" spans="10:11">
      <c r="J107" s="8"/>
      <c r="K107" s="9"/>
    </row>
    <row r="108" spans="10:11">
      <c r="J108" s="8"/>
      <c r="K108" s="9"/>
    </row>
    <row r="109" spans="10:11">
      <c r="J109" s="8"/>
      <c r="K109" s="9"/>
    </row>
    <row r="110" spans="10:11">
      <c r="J110" s="8"/>
      <c r="K110" s="9"/>
    </row>
    <row r="111" spans="10:11">
      <c r="J111" s="8"/>
      <c r="K111" s="9"/>
    </row>
    <row r="112" spans="10:11">
      <c r="J112" s="11"/>
      <c r="K112" s="9"/>
    </row>
  </sheetData>
  <autoFilter ref="A10:K17" xr:uid="{8219136B-E750-46F1-A9C3-157164C1DD2A}">
    <sortState xmlns:xlrd2="http://schemas.microsoft.com/office/spreadsheetml/2017/richdata2" ref="A11:K112">
      <sortCondition descending="1" ref="A10:A17"/>
    </sortState>
  </autoFilter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84EA-75E4-4CB4-9FD4-08FD50FE1855}">
  <dimension ref="A1:M112"/>
  <sheetViews>
    <sheetView workbookViewId="0">
      <selection activeCell="D27" sqref="D27"/>
    </sheetView>
  </sheetViews>
  <sheetFormatPr defaultRowHeight="15"/>
  <cols>
    <col min="1" max="1" width="10.85546875" style="6" customWidth="1"/>
    <col min="2" max="2" width="25.5703125" style="7" bestFit="1" customWidth="1"/>
    <col min="3" max="3" width="12.28515625" style="7" customWidth="1"/>
    <col min="4" max="4" width="12.7109375" style="7" customWidth="1"/>
    <col min="5" max="5" width="13" style="7" customWidth="1"/>
    <col min="6" max="6" width="15.85546875" style="7" bestFit="1" customWidth="1"/>
    <col min="7" max="7" width="13.5703125" style="7" bestFit="1" customWidth="1"/>
    <col min="8" max="8" width="18.7109375" style="7" bestFit="1" customWidth="1"/>
    <col min="9" max="9" width="17.7109375" style="7" bestFit="1" customWidth="1"/>
    <col min="10" max="10" width="10.5703125" style="7" customWidth="1"/>
    <col min="11" max="11" width="12.7109375" style="7" customWidth="1"/>
    <col min="12" max="16384" width="9.140625" style="7"/>
  </cols>
  <sheetData>
    <row r="1" spans="1:13" s="16" customFormat="1" ht="24">
      <c r="A1" s="15" t="s">
        <v>79</v>
      </c>
    </row>
    <row r="2" spans="1:13" s="16" customFormat="1">
      <c r="A2" s="17"/>
    </row>
    <row r="3" spans="1:13" s="16" customFormat="1" ht="18.75">
      <c r="A3" s="17"/>
      <c r="B3" s="18" t="s">
        <v>101</v>
      </c>
      <c r="C3" s="21">
        <f>SUM(K:K)</f>
        <v>55.19</v>
      </c>
    </row>
    <row r="4" spans="1:13" s="16" customFormat="1" ht="18.75">
      <c r="A4" s="17"/>
      <c r="B4" s="19" t="s">
        <v>29</v>
      </c>
      <c r="C4" s="20">
        <f>SUMIFS(K10:K1000, D10:D1000, "Ebook", E10:E1000, "&lt;&gt;KENP")</f>
        <v>14.580000000000002</v>
      </c>
    </row>
    <row r="5" spans="1:13" s="16" customFormat="1" ht="18.75">
      <c r="A5" s="17"/>
      <c r="B5" s="19" t="s">
        <v>80</v>
      </c>
      <c r="C5" s="20">
        <f>SUMIFS(K10:K1000, D10:D1000, "Paperback")</f>
        <v>40.499999999999993</v>
      </c>
    </row>
    <row r="6" spans="1:13" s="16" customFormat="1" ht="18.75">
      <c r="A6" s="17"/>
      <c r="B6" s="19" t="s">
        <v>26</v>
      </c>
      <c r="C6" s="20">
        <f>SUMIFS(K10:K1000, D10:D1000, "Ebook", E10:E1000, "KENP")</f>
        <v>0.11</v>
      </c>
    </row>
    <row r="7" spans="1:13" s="16" customFormat="1">
      <c r="A7" s="17"/>
    </row>
    <row r="8" spans="1:13" s="16" customFormat="1">
      <c r="A8" s="17"/>
    </row>
    <row r="9" spans="1:13" s="16" customFormat="1">
      <c r="A9" s="17"/>
    </row>
    <row r="10" spans="1:13" s="14" customFormat="1" ht="15.75" customHeight="1">
      <c r="A10" s="12" t="s">
        <v>17</v>
      </c>
      <c r="B10" s="13" t="s">
        <v>0</v>
      </c>
      <c r="C10" s="13" t="s">
        <v>1</v>
      </c>
      <c r="D10" s="13" t="s">
        <v>78</v>
      </c>
      <c r="E10" s="13" t="s">
        <v>19</v>
      </c>
      <c r="F10" s="13" t="s">
        <v>2</v>
      </c>
      <c r="G10" s="13" t="s">
        <v>3</v>
      </c>
      <c r="H10" s="13" t="s">
        <v>4</v>
      </c>
      <c r="I10" s="13" t="s">
        <v>18</v>
      </c>
      <c r="J10" s="13" t="s">
        <v>20</v>
      </c>
      <c r="K10" s="13" t="s">
        <v>8</v>
      </c>
    </row>
    <row r="11" spans="1:13">
      <c r="A11" s="6" cm="1">
        <f t="array" ref="A11:K21">_xlfn._xlws.FILTER(Transactions!A2:K978, Transactions!C2:C978="Carolyn Martin", "No records")</f>
        <v>45870</v>
      </c>
      <c r="B11" s="7" t="str">
        <v>Metrophobia</v>
      </c>
      <c r="C11" s="7" t="str">
        <v>Carolyn Martin</v>
      </c>
      <c r="D11" s="7" t="str">
        <v>Paperback</v>
      </c>
      <c r="E11" s="7" t="str">
        <v>Purchase</v>
      </c>
      <c r="F11" s="7" t="str">
        <v>Amazon.com</v>
      </c>
      <c r="G11" s="7">
        <v>1</v>
      </c>
      <c r="H11" s="7">
        <v>0</v>
      </c>
      <c r="I11" s="7">
        <v>1</v>
      </c>
      <c r="J11" s="8">
        <v>0.6</v>
      </c>
      <c r="K11" s="9">
        <v>12</v>
      </c>
      <c r="L11" s="10"/>
      <c r="M11" s="10"/>
    </row>
    <row r="12" spans="1:13">
      <c r="A12" s="6">
        <v>45870</v>
      </c>
      <c r="B12" s="7" t="str">
        <v>Metrophobia</v>
      </c>
      <c r="C12" s="7" t="str">
        <v>Carolyn Martin</v>
      </c>
      <c r="D12" s="7" t="str">
        <v>Ebook</v>
      </c>
      <c r="E12" s="7" t="str">
        <v>KENP</v>
      </c>
      <c r="F12" s="7" t="str">
        <v>Amazon.com</v>
      </c>
      <c r="G12" s="7">
        <v>0</v>
      </c>
      <c r="H12" s="7">
        <v>0</v>
      </c>
      <c r="I12" s="7">
        <v>0</v>
      </c>
      <c r="J12" s="8">
        <v>1</v>
      </c>
      <c r="K12" s="9">
        <v>0.05</v>
      </c>
      <c r="L12" s="10"/>
      <c r="M12" s="10"/>
    </row>
    <row r="13" spans="1:13">
      <c r="A13" s="6">
        <v>45870</v>
      </c>
      <c r="B13" s="7" t="str">
        <v>Metrophobia</v>
      </c>
      <c r="C13" s="7" t="str">
        <v>Carolyn Martin</v>
      </c>
      <c r="D13" s="7" t="str">
        <v>Ebook</v>
      </c>
      <c r="E13" s="7" t="str">
        <v>Pre-order</v>
      </c>
      <c r="F13" s="7" t="str">
        <v>Amazon.com</v>
      </c>
      <c r="G13" s="7">
        <v>1</v>
      </c>
      <c r="H13" s="7">
        <v>0</v>
      </c>
      <c r="I13" s="7">
        <v>1</v>
      </c>
      <c r="J13" s="8">
        <v>0.7</v>
      </c>
      <c r="K13" s="9">
        <v>4.8600000000000003</v>
      </c>
      <c r="L13" s="10"/>
      <c r="M13" s="10"/>
    </row>
    <row r="14" spans="1:13">
      <c r="A14" s="6">
        <v>45870</v>
      </c>
      <c r="B14" s="7" t="str">
        <v>Metrophobia</v>
      </c>
      <c r="C14" s="7" t="str">
        <v>Carolyn Martin</v>
      </c>
      <c r="D14" s="7" t="str">
        <v>Paperback</v>
      </c>
      <c r="E14" s="7" t="str">
        <v>Purchase</v>
      </c>
      <c r="F14" s="7" t="str">
        <v>Amazon.ca</v>
      </c>
      <c r="G14" s="7">
        <v>1</v>
      </c>
      <c r="H14" s="7">
        <v>0</v>
      </c>
      <c r="I14" s="7">
        <v>1</v>
      </c>
      <c r="J14" s="11">
        <v>0.6</v>
      </c>
      <c r="K14" s="9">
        <v>6.9</v>
      </c>
      <c r="L14" s="10"/>
      <c r="M14" s="10"/>
    </row>
    <row r="15" spans="1:13">
      <c r="A15" s="6">
        <v>45870</v>
      </c>
      <c r="B15" s="7" t="str">
        <v>Metrophobia</v>
      </c>
      <c r="C15" s="7" t="str">
        <v>Carolyn Martin</v>
      </c>
      <c r="D15" s="7" t="str">
        <v>Ebook</v>
      </c>
      <c r="E15" s="7" t="str">
        <v>Purchase</v>
      </c>
      <c r="F15" s="7" t="str">
        <v>Amazon.com</v>
      </c>
      <c r="G15" s="7">
        <v>1</v>
      </c>
      <c r="H15" s="7">
        <v>0</v>
      </c>
      <c r="I15" s="7">
        <v>1</v>
      </c>
      <c r="J15" s="11">
        <v>0.7</v>
      </c>
      <c r="K15" s="9">
        <v>4.8600000000000003</v>
      </c>
      <c r="L15" s="10"/>
      <c r="M15" s="10"/>
    </row>
    <row r="16" spans="1:13">
      <c r="A16" s="6">
        <v>45870</v>
      </c>
      <c r="B16" s="7" t="str">
        <v>Metrophobia</v>
      </c>
      <c r="C16" s="7" t="str">
        <v>Carolyn Martin</v>
      </c>
      <c r="D16" s="7" t="str">
        <v>Paperback</v>
      </c>
      <c r="E16" s="7" t="str">
        <v>Purchase</v>
      </c>
      <c r="F16" s="7" t="str">
        <v>Amazon.com</v>
      </c>
      <c r="G16" s="7">
        <v>1</v>
      </c>
      <c r="H16" s="7">
        <v>0</v>
      </c>
      <c r="I16" s="7">
        <v>1</v>
      </c>
      <c r="J16" s="8">
        <v>0.6</v>
      </c>
      <c r="K16" s="9">
        <v>4.9000000000000004</v>
      </c>
      <c r="L16" s="10"/>
      <c r="M16" s="10"/>
    </row>
    <row r="17" spans="1:13">
      <c r="A17" s="6">
        <v>45901</v>
      </c>
      <c r="B17" s="7" t="str">
        <v>Metrophobia</v>
      </c>
      <c r="C17" s="7" t="str">
        <v>Carolyn Martin</v>
      </c>
      <c r="D17" s="7" t="str">
        <v>Paperback</v>
      </c>
      <c r="E17" s="7" t="str">
        <v>Purchase</v>
      </c>
      <c r="F17" s="7" t="str">
        <v>Amazon.com</v>
      </c>
      <c r="G17" s="7">
        <v>1</v>
      </c>
      <c r="H17" s="7">
        <v>0</v>
      </c>
      <c r="I17" s="7">
        <v>1</v>
      </c>
      <c r="J17" s="8">
        <v>0.6</v>
      </c>
      <c r="K17" s="9">
        <v>4.9000000000000004</v>
      </c>
      <c r="L17" s="10"/>
      <c r="M17" s="10"/>
    </row>
    <row r="18" spans="1:13">
      <c r="A18" s="6">
        <v>45931</v>
      </c>
      <c r="B18" s="7" t="str">
        <v>Metrophobia</v>
      </c>
      <c r="C18" s="7" t="str">
        <v>Carolyn Martin</v>
      </c>
      <c r="D18" s="7" t="str">
        <v>Paperback</v>
      </c>
      <c r="E18" s="7" t="str">
        <v>Purchase</v>
      </c>
      <c r="F18" s="7" t="str">
        <v>Amazon.ca</v>
      </c>
      <c r="G18" s="7">
        <v>1</v>
      </c>
      <c r="H18" s="7">
        <v>0</v>
      </c>
      <c r="I18" s="7">
        <v>1</v>
      </c>
      <c r="J18" s="8">
        <v>0.6</v>
      </c>
      <c r="K18" s="9">
        <v>6.9</v>
      </c>
      <c r="L18" s="10"/>
      <c r="M18" s="10"/>
    </row>
    <row r="19" spans="1:13">
      <c r="A19" s="6">
        <v>45931</v>
      </c>
      <c r="B19" s="7" t="str">
        <v>Metrophobia</v>
      </c>
      <c r="C19" s="7" t="str">
        <v>Carolyn Martin</v>
      </c>
      <c r="D19" s="7" t="str">
        <v>Paperback</v>
      </c>
      <c r="E19" s="7" t="str">
        <v>Purchase</v>
      </c>
      <c r="F19" s="7" t="str">
        <v>Amazon.com</v>
      </c>
      <c r="G19" s="7">
        <v>1</v>
      </c>
      <c r="H19" s="7">
        <v>0</v>
      </c>
      <c r="I19" s="7">
        <v>1</v>
      </c>
      <c r="J19" s="8">
        <v>0.6</v>
      </c>
      <c r="K19" s="9">
        <v>4.9000000000000004</v>
      </c>
      <c r="L19" s="10"/>
      <c r="M19" s="10"/>
    </row>
    <row r="20" spans="1:13">
      <c r="A20" s="6">
        <v>45962</v>
      </c>
      <c r="B20" s="7" t="str">
        <v>Metrophobia</v>
      </c>
      <c r="C20" s="7" t="str">
        <v>Carolyn Martin</v>
      </c>
      <c r="D20" s="7" t="str">
        <v>Ebook</v>
      </c>
      <c r="E20" s="7" t="str">
        <v>KENP</v>
      </c>
      <c r="F20" s="7" t="str">
        <v>Amazon.com</v>
      </c>
      <c r="G20" s="7">
        <v>0</v>
      </c>
      <c r="H20" s="7">
        <v>0</v>
      </c>
      <c r="I20" s="7">
        <v>0</v>
      </c>
      <c r="J20" s="8">
        <v>1</v>
      </c>
      <c r="K20" s="9">
        <v>0.06</v>
      </c>
      <c r="L20" s="10"/>
      <c r="M20" s="10"/>
    </row>
    <row r="21" spans="1:13">
      <c r="A21" s="6">
        <v>45962</v>
      </c>
      <c r="B21" s="7" t="str">
        <v>Metrophobia</v>
      </c>
      <c r="C21" s="7" t="str">
        <v>Carolyn Martin</v>
      </c>
      <c r="D21" s="7" t="str">
        <v>Ebook</v>
      </c>
      <c r="E21" s="7" t="str">
        <v>Purchase</v>
      </c>
      <c r="F21" s="7" t="str">
        <v>Amazon.com</v>
      </c>
      <c r="G21" s="7">
        <v>1</v>
      </c>
      <c r="H21" s="7">
        <v>0</v>
      </c>
      <c r="I21" s="7">
        <v>1</v>
      </c>
      <c r="J21" s="8">
        <v>0.7</v>
      </c>
      <c r="K21" s="9">
        <v>4.8600000000000003</v>
      </c>
      <c r="L21" s="10"/>
      <c r="M21" s="10"/>
    </row>
    <row r="22" spans="1:13">
      <c r="J22" s="11"/>
      <c r="K22" s="9"/>
      <c r="L22" s="10"/>
      <c r="M22" s="10"/>
    </row>
    <row r="23" spans="1:13">
      <c r="J23" s="11"/>
      <c r="K23" s="9"/>
      <c r="L23" s="10"/>
      <c r="M23" s="10"/>
    </row>
    <row r="24" spans="1:13">
      <c r="J24" s="8"/>
      <c r="K24" s="9"/>
      <c r="L24" s="10"/>
      <c r="M24" s="10"/>
    </row>
    <row r="25" spans="1:13">
      <c r="J25" s="8"/>
      <c r="K25" s="9"/>
      <c r="L25" s="10"/>
      <c r="M25" s="10"/>
    </row>
    <row r="26" spans="1:13">
      <c r="J26" s="8"/>
      <c r="K26" s="9"/>
      <c r="L26" s="10"/>
      <c r="M26" s="10"/>
    </row>
    <row r="27" spans="1:13">
      <c r="J27" s="8"/>
      <c r="K27" s="9"/>
      <c r="L27" s="10"/>
      <c r="M27" s="10"/>
    </row>
    <row r="28" spans="1:13">
      <c r="J28" s="8"/>
      <c r="K28" s="9"/>
      <c r="L28" s="10"/>
      <c r="M28" s="10"/>
    </row>
    <row r="29" spans="1:13">
      <c r="J29" s="11"/>
      <c r="K29" s="9"/>
      <c r="L29" s="10"/>
      <c r="M29" s="10"/>
    </row>
    <row r="30" spans="1:13">
      <c r="J30" s="11"/>
      <c r="K30" s="9"/>
      <c r="L30" s="10"/>
      <c r="M30" s="10"/>
    </row>
    <row r="31" spans="1:13">
      <c r="J31" s="8"/>
      <c r="K31" s="9"/>
      <c r="L31" s="10"/>
      <c r="M31" s="10"/>
    </row>
    <row r="32" spans="1:13">
      <c r="J32" s="8"/>
      <c r="K32" s="9"/>
      <c r="L32" s="10"/>
      <c r="M32" s="10"/>
    </row>
    <row r="33" spans="10:13">
      <c r="J33" s="8"/>
      <c r="K33" s="9"/>
      <c r="L33" s="10"/>
      <c r="M33" s="10"/>
    </row>
    <row r="34" spans="10:13">
      <c r="J34" s="8"/>
      <c r="K34" s="9"/>
      <c r="L34" s="10"/>
      <c r="M34" s="10"/>
    </row>
    <row r="35" spans="10:13">
      <c r="J35" s="8"/>
      <c r="K35" s="9"/>
      <c r="L35" s="10"/>
      <c r="M35" s="10"/>
    </row>
    <row r="36" spans="10:13">
      <c r="J36" s="8"/>
      <c r="K36" s="9"/>
      <c r="L36" s="10"/>
      <c r="M36" s="10"/>
    </row>
    <row r="37" spans="10:13">
      <c r="J37" s="8"/>
      <c r="K37" s="9"/>
      <c r="L37" s="10"/>
      <c r="M37" s="10"/>
    </row>
    <row r="38" spans="10:13">
      <c r="J38" s="8"/>
      <c r="K38" s="9"/>
      <c r="L38" s="10"/>
      <c r="M38" s="10"/>
    </row>
    <row r="39" spans="10:13">
      <c r="J39" s="11"/>
      <c r="K39" s="9"/>
      <c r="L39" s="10"/>
      <c r="M39" s="10"/>
    </row>
    <row r="40" spans="10:13">
      <c r="J40" s="11"/>
      <c r="K40" s="9"/>
      <c r="L40" s="10"/>
      <c r="M40" s="10"/>
    </row>
    <row r="41" spans="10:13">
      <c r="J41" s="8"/>
      <c r="K41" s="9"/>
      <c r="L41" s="10"/>
      <c r="M41" s="10"/>
    </row>
    <row r="42" spans="10:13">
      <c r="J42" s="11"/>
      <c r="K42" s="9"/>
      <c r="L42" s="10"/>
      <c r="M42" s="10"/>
    </row>
    <row r="43" spans="10:13">
      <c r="J43" s="8"/>
      <c r="K43" s="9"/>
      <c r="L43" s="10"/>
      <c r="M43" s="10"/>
    </row>
    <row r="44" spans="10:13">
      <c r="J44" s="11"/>
      <c r="K44" s="9"/>
      <c r="L44" s="10"/>
      <c r="M44" s="10"/>
    </row>
    <row r="45" spans="10:13">
      <c r="J45" s="11"/>
      <c r="K45" s="9"/>
      <c r="L45" s="10"/>
      <c r="M45" s="10"/>
    </row>
    <row r="46" spans="10:13">
      <c r="J46" s="8"/>
      <c r="K46" s="9"/>
      <c r="L46" s="10"/>
      <c r="M46" s="10"/>
    </row>
    <row r="47" spans="10:13">
      <c r="J47" s="8"/>
      <c r="K47" s="9"/>
      <c r="L47" s="10"/>
      <c r="M47" s="10"/>
    </row>
    <row r="48" spans="10:13">
      <c r="J48" s="8"/>
      <c r="K48" s="9"/>
      <c r="L48" s="10"/>
      <c r="M48" s="10"/>
    </row>
    <row r="49" spans="10:13">
      <c r="J49" s="8"/>
      <c r="K49" s="9"/>
      <c r="L49" s="10"/>
      <c r="M49" s="10"/>
    </row>
    <row r="50" spans="10:13">
      <c r="J50" s="8"/>
      <c r="K50" s="9"/>
      <c r="L50" s="10"/>
      <c r="M50" s="10"/>
    </row>
    <row r="51" spans="10:13">
      <c r="J51" s="11"/>
      <c r="K51" s="9"/>
      <c r="L51" s="10"/>
      <c r="M51" s="10"/>
    </row>
    <row r="52" spans="10:13">
      <c r="J52" s="11"/>
      <c r="K52" s="9"/>
      <c r="L52" s="10"/>
      <c r="M52" s="10"/>
    </row>
    <row r="53" spans="10:13">
      <c r="J53" s="8"/>
      <c r="K53" s="9"/>
      <c r="L53" s="10"/>
      <c r="M53" s="10"/>
    </row>
    <row r="54" spans="10:13">
      <c r="J54" s="8"/>
      <c r="K54" s="9"/>
      <c r="L54" s="10"/>
      <c r="M54" s="10"/>
    </row>
    <row r="55" spans="10:13">
      <c r="J55" s="8"/>
      <c r="K55" s="9"/>
      <c r="L55" s="10"/>
      <c r="M55" s="10"/>
    </row>
    <row r="56" spans="10:13">
      <c r="J56" s="8"/>
      <c r="K56" s="9"/>
      <c r="L56" s="10"/>
      <c r="M56" s="10"/>
    </row>
    <row r="57" spans="10:13">
      <c r="J57" s="11"/>
      <c r="K57" s="9"/>
      <c r="L57" s="10"/>
      <c r="M57" s="10"/>
    </row>
    <row r="58" spans="10:13">
      <c r="J58" s="8"/>
      <c r="K58" s="9"/>
      <c r="L58" s="10"/>
      <c r="M58" s="10"/>
    </row>
    <row r="59" spans="10:13">
      <c r="J59" s="11"/>
      <c r="K59" s="9"/>
      <c r="L59" s="10"/>
      <c r="M59" s="10"/>
    </row>
    <row r="60" spans="10:13">
      <c r="J60" s="11"/>
      <c r="K60" s="9"/>
      <c r="L60" s="10"/>
      <c r="M60" s="10"/>
    </row>
    <row r="61" spans="10:13">
      <c r="J61" s="8"/>
      <c r="K61" s="9"/>
      <c r="L61" s="10"/>
      <c r="M61" s="10"/>
    </row>
    <row r="62" spans="10:13">
      <c r="J62" s="8"/>
      <c r="K62" s="9"/>
      <c r="L62" s="10"/>
      <c r="M62" s="10"/>
    </row>
    <row r="63" spans="10:13">
      <c r="J63" s="11"/>
      <c r="K63" s="9"/>
      <c r="L63" s="10"/>
      <c r="M63" s="10"/>
    </row>
    <row r="64" spans="10:13">
      <c r="J64" s="8"/>
      <c r="K64" s="9"/>
      <c r="L64" s="10"/>
      <c r="M64" s="10"/>
    </row>
    <row r="65" spans="10:13">
      <c r="J65" s="8"/>
      <c r="K65" s="9"/>
      <c r="L65" s="10"/>
      <c r="M65" s="10"/>
    </row>
    <row r="66" spans="10:13">
      <c r="J66" s="8"/>
      <c r="K66" s="9"/>
      <c r="L66" s="10"/>
      <c r="M66" s="10"/>
    </row>
    <row r="67" spans="10:13">
      <c r="J67" s="8"/>
      <c r="K67" s="9"/>
      <c r="L67" s="10"/>
      <c r="M67" s="10"/>
    </row>
    <row r="68" spans="10:13">
      <c r="J68" s="8"/>
      <c r="K68" s="9"/>
      <c r="L68" s="10"/>
      <c r="M68" s="10"/>
    </row>
    <row r="69" spans="10:13">
      <c r="J69" s="8"/>
      <c r="K69" s="9"/>
      <c r="L69" s="10"/>
      <c r="M69" s="10"/>
    </row>
    <row r="70" spans="10:13">
      <c r="J70" s="8"/>
      <c r="K70" s="9"/>
      <c r="L70" s="10"/>
      <c r="M70" s="10"/>
    </row>
    <row r="71" spans="10:13">
      <c r="J71" s="8"/>
      <c r="K71" s="9"/>
      <c r="L71" s="10"/>
      <c r="M71" s="10"/>
    </row>
    <row r="72" spans="10:13">
      <c r="J72" s="8"/>
      <c r="K72" s="9"/>
      <c r="L72" s="10"/>
      <c r="M72" s="10"/>
    </row>
    <row r="73" spans="10:13">
      <c r="J73" s="8"/>
      <c r="K73" s="9"/>
      <c r="L73" s="10"/>
      <c r="M73" s="10"/>
    </row>
    <row r="74" spans="10:13">
      <c r="J74" s="8"/>
      <c r="K74" s="9"/>
      <c r="L74" s="10"/>
      <c r="M74" s="10"/>
    </row>
    <row r="75" spans="10:13">
      <c r="J75" s="8"/>
      <c r="K75" s="9"/>
      <c r="L75" s="10"/>
      <c r="M75" s="10"/>
    </row>
    <row r="76" spans="10:13">
      <c r="J76" s="8"/>
      <c r="K76" s="9"/>
      <c r="L76" s="10"/>
      <c r="M76" s="10"/>
    </row>
    <row r="77" spans="10:13">
      <c r="J77" s="8"/>
      <c r="K77" s="9"/>
      <c r="L77" s="10"/>
      <c r="M77" s="10"/>
    </row>
    <row r="78" spans="10:13">
      <c r="J78" s="8"/>
      <c r="K78" s="9"/>
      <c r="L78" s="10"/>
      <c r="M78" s="10"/>
    </row>
    <row r="79" spans="10:13">
      <c r="J79" s="8"/>
      <c r="K79" s="9"/>
      <c r="L79" s="10"/>
      <c r="M79" s="10"/>
    </row>
    <row r="80" spans="10:13">
      <c r="J80" s="8"/>
      <c r="K80" s="9"/>
      <c r="L80" s="10"/>
      <c r="M80" s="10"/>
    </row>
    <row r="81" spans="10:13">
      <c r="J81" s="8"/>
      <c r="K81" s="9"/>
      <c r="L81" s="10"/>
      <c r="M81" s="10"/>
    </row>
    <row r="82" spans="10:13">
      <c r="J82" s="8"/>
      <c r="K82" s="9"/>
      <c r="L82" s="10"/>
      <c r="M82" s="10"/>
    </row>
    <row r="83" spans="10:13">
      <c r="J83" s="8"/>
      <c r="K83" s="9"/>
      <c r="L83" s="10"/>
      <c r="M83" s="10"/>
    </row>
    <row r="84" spans="10:13">
      <c r="J84" s="8"/>
      <c r="K84" s="9"/>
      <c r="L84" s="10"/>
      <c r="M84" s="10"/>
    </row>
    <row r="85" spans="10:13">
      <c r="J85" s="8"/>
      <c r="K85" s="9"/>
      <c r="L85" s="10"/>
      <c r="M85" s="10"/>
    </row>
    <row r="86" spans="10:13">
      <c r="J86" s="11"/>
      <c r="K86" s="9"/>
      <c r="L86" s="10"/>
      <c r="M86" s="10"/>
    </row>
    <row r="87" spans="10:13">
      <c r="J87" s="11"/>
      <c r="K87" s="9"/>
      <c r="L87" s="10"/>
      <c r="M87" s="10"/>
    </row>
    <row r="88" spans="10:13">
      <c r="J88" s="11"/>
      <c r="K88" s="9"/>
    </row>
    <row r="89" spans="10:13">
      <c r="J89" s="8"/>
      <c r="K89" s="9"/>
    </row>
    <row r="90" spans="10:13">
      <c r="J90" s="8"/>
      <c r="K90" s="9"/>
    </row>
    <row r="91" spans="10:13">
      <c r="J91" s="8"/>
      <c r="K91" s="9"/>
    </row>
    <row r="92" spans="10:13">
      <c r="J92" s="11"/>
      <c r="K92" s="9"/>
    </row>
    <row r="93" spans="10:13">
      <c r="J93" s="11"/>
      <c r="K93" s="9"/>
    </row>
    <row r="94" spans="10:13">
      <c r="J94" s="11"/>
      <c r="K94" s="9"/>
    </row>
    <row r="95" spans="10:13">
      <c r="J95" s="8"/>
      <c r="K95" s="9"/>
    </row>
    <row r="96" spans="10:13">
      <c r="J96" s="8"/>
      <c r="K96" s="9"/>
    </row>
    <row r="97" spans="10:11">
      <c r="J97" s="8"/>
      <c r="K97" s="9"/>
    </row>
    <row r="98" spans="10:11">
      <c r="J98" s="8"/>
      <c r="K98" s="9"/>
    </row>
    <row r="99" spans="10:11">
      <c r="J99" s="8"/>
      <c r="K99" s="9"/>
    </row>
    <row r="100" spans="10:11">
      <c r="J100" s="11"/>
      <c r="K100" s="9"/>
    </row>
    <row r="101" spans="10:11">
      <c r="J101" s="8"/>
      <c r="K101" s="9"/>
    </row>
    <row r="102" spans="10:11">
      <c r="J102" s="8"/>
      <c r="K102" s="9"/>
    </row>
    <row r="103" spans="10:11">
      <c r="J103" s="8"/>
      <c r="K103" s="9"/>
    </row>
    <row r="104" spans="10:11">
      <c r="J104" s="8"/>
      <c r="K104" s="9"/>
    </row>
    <row r="105" spans="10:11">
      <c r="J105" s="8"/>
      <c r="K105" s="9"/>
    </row>
    <row r="106" spans="10:11">
      <c r="J106" s="8"/>
      <c r="K106" s="9"/>
    </row>
    <row r="107" spans="10:11">
      <c r="J107" s="8"/>
      <c r="K107" s="9"/>
    </row>
    <row r="108" spans="10:11">
      <c r="J108" s="8"/>
      <c r="K108" s="9"/>
    </row>
    <row r="109" spans="10:11">
      <c r="J109" s="8"/>
      <c r="K109" s="9"/>
    </row>
    <row r="110" spans="10:11">
      <c r="J110" s="8"/>
      <c r="K110" s="9"/>
    </row>
    <row r="111" spans="10:11">
      <c r="J111" s="8"/>
      <c r="K111" s="9"/>
    </row>
    <row r="112" spans="10:11">
      <c r="J112" s="11"/>
      <c r="K112" s="9"/>
    </row>
  </sheetData>
  <autoFilter ref="A10:K17" xr:uid="{8219136B-E750-46F1-A9C3-157164C1DD2A}">
    <sortState xmlns:xlrd2="http://schemas.microsoft.com/office/spreadsheetml/2017/richdata2" ref="A11:K112">
      <sortCondition descending="1" ref="A10:A17"/>
    </sortState>
  </autoFilter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136B-E750-46F1-A9C3-157164C1DD2A}">
  <dimension ref="A1:M352"/>
  <sheetViews>
    <sheetView workbookViewId="0">
      <pane ySplit="1" topLeftCell="A144" activePane="bottomLeft" state="frozen"/>
      <selection pane="bottomLeft" activeCell="A231" sqref="A231"/>
    </sheetView>
  </sheetViews>
  <sheetFormatPr defaultRowHeight="15"/>
  <cols>
    <col min="1" max="1" width="10.85546875" style="6" customWidth="1"/>
    <col min="2" max="2" width="25.5703125" style="7" bestFit="1" customWidth="1"/>
    <col min="3" max="3" width="15.28515625" style="7" customWidth="1"/>
    <col min="4" max="4" width="12.7109375" style="7" customWidth="1"/>
    <col min="5" max="5" width="13" style="7" customWidth="1"/>
    <col min="6" max="6" width="15.85546875" style="7" bestFit="1" customWidth="1"/>
    <col min="7" max="7" width="13.5703125" style="7" bestFit="1" customWidth="1"/>
    <col min="8" max="8" width="18.7109375" style="7" bestFit="1" customWidth="1"/>
    <col min="9" max="9" width="17.7109375" style="7" bestFit="1" customWidth="1"/>
    <col min="10" max="10" width="10.5703125" style="7" customWidth="1"/>
    <col min="11" max="11" width="12.7109375" style="7" customWidth="1"/>
    <col min="12" max="12" width="0" style="7" hidden="1" customWidth="1"/>
    <col min="13" max="16384" width="9.140625" style="7"/>
  </cols>
  <sheetData>
    <row r="1" spans="1:13" s="14" customFormat="1" ht="15.75" customHeight="1">
      <c r="A1" s="12" t="s">
        <v>17</v>
      </c>
      <c r="B1" s="13" t="s">
        <v>0</v>
      </c>
      <c r="C1" s="13" t="s">
        <v>1</v>
      </c>
      <c r="D1" s="13" t="s">
        <v>78</v>
      </c>
      <c r="E1" s="13" t="s">
        <v>19</v>
      </c>
      <c r="F1" s="13" t="s">
        <v>2</v>
      </c>
      <c r="G1" s="13" t="s">
        <v>3</v>
      </c>
      <c r="H1" s="13" t="s">
        <v>4</v>
      </c>
      <c r="I1" s="13" t="s">
        <v>18</v>
      </c>
      <c r="J1" s="13" t="s">
        <v>20</v>
      </c>
      <c r="K1" s="13" t="s">
        <v>8</v>
      </c>
      <c r="L1" s="13" t="s">
        <v>105</v>
      </c>
    </row>
    <row r="2" spans="1:13">
      <c r="A2" s="6">
        <v>44805</v>
      </c>
      <c r="B2" s="7" t="s">
        <v>100</v>
      </c>
      <c r="C2" s="7" t="s">
        <v>36</v>
      </c>
      <c r="D2" s="7" t="s">
        <v>100</v>
      </c>
      <c r="E2" s="7" t="s">
        <v>98</v>
      </c>
      <c r="F2" s="7" t="s">
        <v>100</v>
      </c>
      <c r="K2" s="9">
        <v>242.51</v>
      </c>
      <c r="M2" s="10"/>
    </row>
    <row r="3" spans="1:13">
      <c r="A3" s="6">
        <v>44850</v>
      </c>
      <c r="B3" s="7" t="s">
        <v>100</v>
      </c>
      <c r="C3" s="7" t="s">
        <v>36</v>
      </c>
      <c r="D3" s="7" t="s">
        <v>100</v>
      </c>
      <c r="E3" s="7" t="s">
        <v>98</v>
      </c>
      <c r="F3" s="7" t="s">
        <v>100</v>
      </c>
      <c r="J3" s="8"/>
      <c r="K3" s="9">
        <v>-40</v>
      </c>
      <c r="M3" s="10"/>
    </row>
    <row r="4" spans="1:13">
      <c r="A4" s="6">
        <v>44957</v>
      </c>
      <c r="B4" s="7" t="s">
        <v>100</v>
      </c>
      <c r="C4" s="7" t="s">
        <v>36</v>
      </c>
      <c r="D4" s="7" t="s">
        <v>100</v>
      </c>
      <c r="E4" s="7" t="s">
        <v>98</v>
      </c>
      <c r="F4" s="7" t="s">
        <v>100</v>
      </c>
      <c r="J4" s="8"/>
      <c r="K4" s="9">
        <v>-29</v>
      </c>
      <c r="M4" s="10"/>
    </row>
    <row r="5" spans="1:13">
      <c r="A5" s="6">
        <v>45027</v>
      </c>
      <c r="B5" s="7" t="s">
        <v>100</v>
      </c>
      <c r="C5" s="7" t="s">
        <v>36</v>
      </c>
      <c r="D5" s="7" t="s">
        <v>100</v>
      </c>
      <c r="E5" s="7" t="s">
        <v>98</v>
      </c>
      <c r="F5" s="7" t="s">
        <v>100</v>
      </c>
      <c r="J5" s="8"/>
      <c r="K5" s="9">
        <v>-29</v>
      </c>
      <c r="M5" s="10"/>
    </row>
    <row r="6" spans="1:13">
      <c r="A6" s="6">
        <v>45047</v>
      </c>
      <c r="B6" s="7" t="s">
        <v>35</v>
      </c>
      <c r="C6" s="7" t="s">
        <v>36</v>
      </c>
      <c r="D6" s="7" t="s">
        <v>29</v>
      </c>
      <c r="E6" s="7" t="s">
        <v>69</v>
      </c>
      <c r="F6" s="7" t="s">
        <v>12</v>
      </c>
      <c r="G6" s="7">
        <v>15</v>
      </c>
      <c r="H6" s="7">
        <v>0</v>
      </c>
      <c r="I6" s="7">
        <v>15</v>
      </c>
      <c r="J6" s="8">
        <v>0.35</v>
      </c>
      <c r="K6" s="9">
        <v>5.25</v>
      </c>
      <c r="M6" s="10"/>
    </row>
    <row r="7" spans="1:13">
      <c r="A7" s="6">
        <v>45047</v>
      </c>
      <c r="B7" s="7" t="s">
        <v>35</v>
      </c>
      <c r="C7" s="7" t="s">
        <v>36</v>
      </c>
      <c r="D7" s="7" t="s">
        <v>29</v>
      </c>
      <c r="E7" s="7" t="s">
        <v>70</v>
      </c>
      <c r="F7" s="7" t="s">
        <v>12</v>
      </c>
      <c r="G7" s="7">
        <v>55</v>
      </c>
      <c r="H7" s="7">
        <v>0</v>
      </c>
      <c r="I7" s="7">
        <v>55</v>
      </c>
      <c r="J7" s="8">
        <v>0.35</v>
      </c>
      <c r="K7" s="9">
        <v>0</v>
      </c>
      <c r="M7" s="10"/>
    </row>
    <row r="8" spans="1:13">
      <c r="A8" s="6">
        <v>45047</v>
      </c>
      <c r="B8" s="7" t="s">
        <v>35</v>
      </c>
      <c r="C8" s="7" t="s">
        <v>36</v>
      </c>
      <c r="D8" s="7" t="s">
        <v>29</v>
      </c>
      <c r="E8" s="7" t="s">
        <v>70</v>
      </c>
      <c r="F8" s="7" t="s">
        <v>12</v>
      </c>
      <c r="G8" s="7">
        <v>1</v>
      </c>
      <c r="H8" s="7">
        <v>0</v>
      </c>
      <c r="I8" s="7">
        <v>1</v>
      </c>
      <c r="J8" s="8">
        <v>0.35</v>
      </c>
      <c r="K8" s="9">
        <v>0</v>
      </c>
      <c r="M8" s="10"/>
    </row>
    <row r="9" spans="1:13">
      <c r="A9" s="6">
        <v>45047</v>
      </c>
      <c r="B9" s="7" t="s">
        <v>35</v>
      </c>
      <c r="C9" s="7" t="s">
        <v>36</v>
      </c>
      <c r="D9" s="7" t="s">
        <v>29</v>
      </c>
      <c r="E9" s="7" t="s">
        <v>70</v>
      </c>
      <c r="F9" s="7" t="s">
        <v>28</v>
      </c>
      <c r="G9" s="7">
        <v>2</v>
      </c>
      <c r="H9" s="7">
        <v>0</v>
      </c>
      <c r="I9" s="7">
        <v>2</v>
      </c>
      <c r="J9" s="8">
        <v>0.35</v>
      </c>
      <c r="K9" s="9">
        <v>0</v>
      </c>
      <c r="M9" s="10"/>
    </row>
    <row r="10" spans="1:13">
      <c r="A10" s="6">
        <v>45047</v>
      </c>
      <c r="B10" s="7" t="s">
        <v>35</v>
      </c>
      <c r="C10" s="7" t="s">
        <v>36</v>
      </c>
      <c r="D10" s="7" t="s">
        <v>29</v>
      </c>
      <c r="E10" s="7" t="s">
        <v>71</v>
      </c>
      <c r="F10" s="7" t="s">
        <v>16</v>
      </c>
      <c r="G10" s="7">
        <v>1</v>
      </c>
      <c r="H10" s="7">
        <v>0</v>
      </c>
      <c r="I10" s="7">
        <v>1</v>
      </c>
      <c r="J10" s="8">
        <v>0.35</v>
      </c>
      <c r="K10" s="9">
        <v>0</v>
      </c>
      <c r="M10" s="10"/>
    </row>
    <row r="11" spans="1:13">
      <c r="A11" s="6">
        <v>45047</v>
      </c>
      <c r="B11" s="7" t="s">
        <v>35</v>
      </c>
      <c r="C11" s="7" t="s">
        <v>36</v>
      </c>
      <c r="D11" s="7" t="s">
        <v>29</v>
      </c>
      <c r="E11" s="7" t="s">
        <v>70</v>
      </c>
      <c r="F11" s="7" t="s">
        <v>16</v>
      </c>
      <c r="G11" s="7">
        <v>1</v>
      </c>
      <c r="H11" s="7">
        <v>0</v>
      </c>
      <c r="I11" s="7">
        <v>1</v>
      </c>
      <c r="J11" s="8">
        <v>0.35</v>
      </c>
      <c r="K11" s="9">
        <v>0</v>
      </c>
      <c r="M11" s="10"/>
    </row>
    <row r="12" spans="1:13">
      <c r="A12" s="6">
        <v>45047</v>
      </c>
      <c r="B12" s="7" t="s">
        <v>35</v>
      </c>
      <c r="C12" s="7" t="s">
        <v>36</v>
      </c>
      <c r="D12" s="7" t="s">
        <v>29</v>
      </c>
      <c r="E12" s="7" t="s">
        <v>70</v>
      </c>
      <c r="F12" s="7" t="s">
        <v>66</v>
      </c>
      <c r="G12" s="7">
        <v>1</v>
      </c>
      <c r="H12" s="7">
        <v>0</v>
      </c>
      <c r="I12" s="7">
        <v>1</v>
      </c>
      <c r="J12" s="8">
        <v>0.35</v>
      </c>
      <c r="K12" s="9">
        <v>0</v>
      </c>
      <c r="M12" s="10"/>
    </row>
    <row r="13" spans="1:13">
      <c r="A13" s="6">
        <v>45047</v>
      </c>
      <c r="B13" s="7" t="s">
        <v>35</v>
      </c>
      <c r="C13" s="7" t="s">
        <v>36</v>
      </c>
      <c r="D13" s="7" t="s">
        <v>22</v>
      </c>
      <c r="E13" s="7" t="s">
        <v>25</v>
      </c>
      <c r="F13" s="7" t="s">
        <v>12</v>
      </c>
      <c r="G13" s="7">
        <v>1</v>
      </c>
      <c r="H13" s="7">
        <v>0</v>
      </c>
      <c r="I13" s="7">
        <v>1</v>
      </c>
      <c r="J13" s="8">
        <v>0.6</v>
      </c>
      <c r="K13" s="9">
        <v>5.64</v>
      </c>
      <c r="M13" s="10"/>
    </row>
    <row r="14" spans="1:13">
      <c r="A14" s="6">
        <v>45047</v>
      </c>
      <c r="B14" s="7" t="s">
        <v>35</v>
      </c>
      <c r="C14" s="7" t="s">
        <v>36</v>
      </c>
      <c r="D14" s="7" t="s">
        <v>22</v>
      </c>
      <c r="E14" s="7" t="s">
        <v>25</v>
      </c>
      <c r="F14" s="7" t="s">
        <v>12</v>
      </c>
      <c r="G14" s="7">
        <v>1</v>
      </c>
      <c r="H14" s="7">
        <v>0</v>
      </c>
      <c r="I14" s="7">
        <v>1</v>
      </c>
      <c r="J14" s="8">
        <v>0.6</v>
      </c>
      <c r="K14" s="9">
        <v>5.64</v>
      </c>
      <c r="M14" s="10"/>
    </row>
    <row r="15" spans="1:13">
      <c r="A15" s="6">
        <v>45047</v>
      </c>
      <c r="B15" s="7" t="s">
        <v>35</v>
      </c>
      <c r="C15" s="7" t="s">
        <v>36</v>
      </c>
      <c r="D15" s="7" t="s">
        <v>22</v>
      </c>
      <c r="E15" s="7" t="s">
        <v>25</v>
      </c>
      <c r="F15" s="7" t="s">
        <v>12</v>
      </c>
      <c r="G15" s="7">
        <v>1</v>
      </c>
      <c r="H15" s="7">
        <v>0</v>
      </c>
      <c r="I15" s="7">
        <v>1</v>
      </c>
      <c r="J15" s="8">
        <v>0.6</v>
      </c>
      <c r="K15" s="9">
        <v>5.64</v>
      </c>
      <c r="M15" s="10"/>
    </row>
    <row r="16" spans="1:13">
      <c r="A16" s="6">
        <v>45047</v>
      </c>
      <c r="B16" s="7" t="s">
        <v>35</v>
      </c>
      <c r="C16" s="7" t="s">
        <v>36</v>
      </c>
      <c r="D16" s="7" t="s">
        <v>22</v>
      </c>
      <c r="E16" s="7" t="s">
        <v>25</v>
      </c>
      <c r="F16" s="7" t="s">
        <v>12</v>
      </c>
      <c r="G16" s="7">
        <v>4</v>
      </c>
      <c r="H16" s="7">
        <v>0</v>
      </c>
      <c r="I16" s="7">
        <v>4</v>
      </c>
      <c r="J16" s="8">
        <v>0.6</v>
      </c>
      <c r="K16" s="9">
        <v>22.56</v>
      </c>
      <c r="M16" s="10"/>
    </row>
    <row r="17" spans="1:13">
      <c r="A17" s="6">
        <v>45047</v>
      </c>
      <c r="B17" s="7" t="s">
        <v>35</v>
      </c>
      <c r="C17" s="7" t="s">
        <v>36</v>
      </c>
      <c r="D17" s="7" t="s">
        <v>29</v>
      </c>
      <c r="E17" s="7" t="s">
        <v>26</v>
      </c>
      <c r="F17" s="7" t="s">
        <v>12</v>
      </c>
      <c r="G17" s="7">
        <v>27</v>
      </c>
      <c r="H17" s="7">
        <v>0</v>
      </c>
      <c r="I17" s="7">
        <v>0</v>
      </c>
      <c r="J17" s="8">
        <v>0</v>
      </c>
      <c r="K17" s="9">
        <v>0.11863800000000001</v>
      </c>
      <c r="M17" s="10"/>
    </row>
    <row r="18" spans="1:13">
      <c r="A18" s="6">
        <v>45078</v>
      </c>
      <c r="B18" s="7" t="s">
        <v>35</v>
      </c>
      <c r="C18" s="7" t="s">
        <v>36</v>
      </c>
      <c r="D18" s="7" t="s">
        <v>29</v>
      </c>
      <c r="E18" s="7" t="s">
        <v>25</v>
      </c>
      <c r="F18" s="7" t="s">
        <v>12</v>
      </c>
      <c r="G18" s="7">
        <v>1</v>
      </c>
      <c r="H18" s="7">
        <v>0</v>
      </c>
      <c r="I18" s="7">
        <v>1</v>
      </c>
      <c r="J18" s="8">
        <v>0.35</v>
      </c>
      <c r="K18" s="9">
        <v>0.35</v>
      </c>
      <c r="M18" s="10"/>
    </row>
    <row r="19" spans="1:13">
      <c r="A19" s="6">
        <v>45078</v>
      </c>
      <c r="B19" s="7" t="s">
        <v>40</v>
      </c>
      <c r="C19" s="7" t="s">
        <v>36</v>
      </c>
      <c r="D19" s="7" t="s">
        <v>29</v>
      </c>
      <c r="E19" s="7" t="s">
        <v>25</v>
      </c>
      <c r="F19" s="7" t="s">
        <v>12</v>
      </c>
      <c r="G19" s="7">
        <v>1</v>
      </c>
      <c r="H19" s="7">
        <v>0</v>
      </c>
      <c r="I19" s="7">
        <v>1</v>
      </c>
      <c r="J19" s="8">
        <v>0.35</v>
      </c>
      <c r="K19" s="9">
        <v>1.05</v>
      </c>
      <c r="M19" s="10"/>
    </row>
    <row r="20" spans="1:13">
      <c r="A20" s="6">
        <v>45078</v>
      </c>
      <c r="B20" s="7" t="s">
        <v>40</v>
      </c>
      <c r="C20" s="7" t="s">
        <v>36</v>
      </c>
      <c r="D20" s="7" t="s">
        <v>29</v>
      </c>
      <c r="E20" s="7" t="s">
        <v>25</v>
      </c>
      <c r="F20" s="7" t="s">
        <v>12</v>
      </c>
      <c r="G20" s="7">
        <v>1</v>
      </c>
      <c r="H20" s="7">
        <v>0</v>
      </c>
      <c r="I20" s="7">
        <v>1</v>
      </c>
      <c r="J20" s="8">
        <v>0.35</v>
      </c>
      <c r="K20" s="9">
        <v>0.35</v>
      </c>
      <c r="M20" s="10"/>
    </row>
    <row r="21" spans="1:13">
      <c r="A21" s="6">
        <v>45078</v>
      </c>
      <c r="B21" s="7" t="s">
        <v>35</v>
      </c>
      <c r="C21" s="7" t="s">
        <v>36</v>
      </c>
      <c r="D21" s="7" t="s">
        <v>22</v>
      </c>
      <c r="E21" s="7" t="s">
        <v>25</v>
      </c>
      <c r="F21" s="7" t="s">
        <v>12</v>
      </c>
      <c r="G21" s="7">
        <v>1</v>
      </c>
      <c r="H21" s="7">
        <v>0</v>
      </c>
      <c r="I21" s="7">
        <v>1</v>
      </c>
      <c r="J21" s="8">
        <v>0.6</v>
      </c>
      <c r="K21" s="9">
        <v>5.64</v>
      </c>
      <c r="M21" s="10"/>
    </row>
    <row r="22" spans="1:13">
      <c r="A22" s="6">
        <v>45078</v>
      </c>
      <c r="B22" s="7" t="s">
        <v>35</v>
      </c>
      <c r="C22" s="7" t="s">
        <v>36</v>
      </c>
      <c r="D22" s="7" t="s">
        <v>22</v>
      </c>
      <c r="E22" s="7" t="s">
        <v>25</v>
      </c>
      <c r="F22" s="7" t="s">
        <v>12</v>
      </c>
      <c r="G22" s="7">
        <v>1</v>
      </c>
      <c r="H22" s="7">
        <v>0</v>
      </c>
      <c r="I22" s="7">
        <v>1</v>
      </c>
      <c r="J22" s="8">
        <v>0.6</v>
      </c>
      <c r="K22" s="9">
        <v>5.64</v>
      </c>
      <c r="M22" s="10"/>
    </row>
    <row r="23" spans="1:13">
      <c r="A23" s="6">
        <v>45078</v>
      </c>
      <c r="B23" s="7" t="s">
        <v>75</v>
      </c>
      <c r="C23" s="7" t="s">
        <v>10</v>
      </c>
      <c r="D23" s="7" t="s">
        <v>75</v>
      </c>
      <c r="E23" s="7" t="s">
        <v>26</v>
      </c>
      <c r="F23" s="7" t="s">
        <v>12</v>
      </c>
      <c r="G23" s="7">
        <v>0</v>
      </c>
      <c r="H23" s="7">
        <v>0</v>
      </c>
      <c r="I23" s="7">
        <v>0</v>
      </c>
      <c r="J23" s="8">
        <v>0</v>
      </c>
      <c r="K23" s="9">
        <v>7.31</v>
      </c>
      <c r="M23" s="10"/>
    </row>
    <row r="24" spans="1:13">
      <c r="A24" s="6">
        <v>45139</v>
      </c>
      <c r="B24" s="7" t="s">
        <v>35</v>
      </c>
      <c r="C24" s="7" t="s">
        <v>36</v>
      </c>
      <c r="D24" s="7" t="s">
        <v>29</v>
      </c>
      <c r="E24" s="7" t="s">
        <v>26</v>
      </c>
      <c r="F24" s="7" t="s">
        <v>16</v>
      </c>
      <c r="G24" s="7">
        <v>107</v>
      </c>
      <c r="H24" s="7">
        <v>0</v>
      </c>
      <c r="I24" s="7">
        <v>0</v>
      </c>
      <c r="J24" s="8">
        <v>0</v>
      </c>
      <c r="K24" s="9">
        <v>0.47015800000000002</v>
      </c>
      <c r="M24" s="10"/>
    </row>
    <row r="25" spans="1:13">
      <c r="A25" s="6">
        <v>45139</v>
      </c>
      <c r="B25" s="7" t="s">
        <v>100</v>
      </c>
      <c r="C25" s="7" t="s">
        <v>36</v>
      </c>
      <c r="D25" s="7" t="s">
        <v>100</v>
      </c>
      <c r="E25" s="7" t="s">
        <v>98</v>
      </c>
      <c r="F25" s="7" t="s">
        <v>100</v>
      </c>
      <c r="J25" s="8"/>
      <c r="K25" s="9">
        <v>-45</v>
      </c>
      <c r="M25" s="10"/>
    </row>
    <row r="26" spans="1:13">
      <c r="A26" s="6">
        <v>45200</v>
      </c>
      <c r="B26" s="7" t="s">
        <v>35</v>
      </c>
      <c r="C26" s="7" t="s">
        <v>36</v>
      </c>
      <c r="D26" s="7" t="s">
        <v>29</v>
      </c>
      <c r="E26" s="7" t="s">
        <v>26</v>
      </c>
      <c r="F26" s="7" t="s">
        <v>12</v>
      </c>
      <c r="G26" s="7">
        <v>4</v>
      </c>
      <c r="H26" s="7">
        <v>0</v>
      </c>
      <c r="I26" s="7">
        <v>0</v>
      </c>
      <c r="J26" s="8">
        <v>0</v>
      </c>
      <c r="K26" s="9">
        <v>1.7576000000000001E-2</v>
      </c>
      <c r="M26" s="10"/>
    </row>
    <row r="27" spans="1:13">
      <c r="A27" s="6">
        <v>45203</v>
      </c>
      <c r="B27" s="7" t="s">
        <v>100</v>
      </c>
      <c r="C27" s="7" t="s">
        <v>36</v>
      </c>
      <c r="D27" s="7" t="s">
        <v>100</v>
      </c>
      <c r="E27" s="7" t="s">
        <v>98</v>
      </c>
      <c r="F27" s="7" t="s">
        <v>100</v>
      </c>
      <c r="J27" s="8"/>
      <c r="K27" s="9">
        <v>-22</v>
      </c>
      <c r="M27" s="10"/>
    </row>
    <row r="28" spans="1:13">
      <c r="A28" s="6">
        <v>45231</v>
      </c>
      <c r="B28" s="7" t="s">
        <v>35</v>
      </c>
      <c r="C28" s="7" t="s">
        <v>36</v>
      </c>
      <c r="D28" s="7" t="s">
        <v>29</v>
      </c>
      <c r="E28" s="7" t="s">
        <v>26</v>
      </c>
      <c r="F28" s="7" t="s">
        <v>12</v>
      </c>
      <c r="G28" s="7">
        <v>136</v>
      </c>
      <c r="H28" s="7">
        <v>0</v>
      </c>
      <c r="I28" s="7">
        <v>0</v>
      </c>
      <c r="J28" s="8">
        <v>0</v>
      </c>
      <c r="K28" s="9">
        <v>0.597584</v>
      </c>
      <c r="M28" s="10"/>
    </row>
    <row r="29" spans="1:13">
      <c r="A29" s="6">
        <v>45259</v>
      </c>
      <c r="B29" s="7" t="s">
        <v>100</v>
      </c>
      <c r="C29" s="7" t="s">
        <v>36</v>
      </c>
      <c r="D29" s="7" t="s">
        <v>100</v>
      </c>
      <c r="E29" s="7" t="s">
        <v>98</v>
      </c>
      <c r="F29" s="7" t="s">
        <v>100</v>
      </c>
      <c r="J29" s="8"/>
      <c r="K29" s="9">
        <v>-16</v>
      </c>
      <c r="M29" s="10"/>
    </row>
    <row r="30" spans="1:13">
      <c r="A30" s="6">
        <v>45261</v>
      </c>
      <c r="B30" s="7" t="s">
        <v>43</v>
      </c>
      <c r="C30" s="7" t="s">
        <v>36</v>
      </c>
      <c r="D30" s="7" t="s">
        <v>22</v>
      </c>
      <c r="E30" s="7" t="s">
        <v>25</v>
      </c>
      <c r="F30" s="7" t="s">
        <v>12</v>
      </c>
      <c r="G30" s="7">
        <v>1</v>
      </c>
      <c r="H30" s="7">
        <v>0</v>
      </c>
      <c r="I30" s="7">
        <v>1</v>
      </c>
      <c r="J30" s="8">
        <v>0.6</v>
      </c>
      <c r="K30" s="9">
        <v>6.7</v>
      </c>
      <c r="M30" s="10"/>
    </row>
    <row r="31" spans="1:13">
      <c r="A31" s="6">
        <v>45271</v>
      </c>
      <c r="B31" s="7" t="s">
        <v>100</v>
      </c>
      <c r="C31" s="7" t="s">
        <v>36</v>
      </c>
      <c r="D31" s="7" t="s">
        <v>100</v>
      </c>
      <c r="E31" s="7" t="s">
        <v>98</v>
      </c>
      <c r="F31" s="7" t="s">
        <v>100</v>
      </c>
      <c r="J31" s="8"/>
      <c r="K31" s="9">
        <v>-59</v>
      </c>
      <c r="M31" s="10"/>
    </row>
    <row r="32" spans="1:13">
      <c r="A32" s="6">
        <v>45298</v>
      </c>
      <c r="B32" s="7" t="s">
        <v>100</v>
      </c>
      <c r="C32" s="7" t="s">
        <v>36</v>
      </c>
      <c r="D32" s="7" t="s">
        <v>100</v>
      </c>
      <c r="E32" s="7" t="s">
        <v>98</v>
      </c>
      <c r="F32" s="7" t="s">
        <v>100</v>
      </c>
      <c r="J32" s="8"/>
      <c r="K32" s="9">
        <v>-11</v>
      </c>
      <c r="M32" s="10"/>
    </row>
    <row r="33" spans="1:13">
      <c r="A33" s="6">
        <v>45330</v>
      </c>
      <c r="B33" s="7" t="s">
        <v>100</v>
      </c>
      <c r="C33" s="7" t="s">
        <v>36</v>
      </c>
      <c r="D33" s="7" t="s">
        <v>100</v>
      </c>
      <c r="E33" s="7" t="s">
        <v>98</v>
      </c>
      <c r="F33" s="7" t="s">
        <v>100</v>
      </c>
      <c r="J33" s="8"/>
      <c r="K33" s="9">
        <v>-59</v>
      </c>
      <c r="M33" s="10"/>
    </row>
    <row r="34" spans="1:13">
      <c r="A34" s="6">
        <v>45352</v>
      </c>
      <c r="B34" s="7" t="s">
        <v>43</v>
      </c>
      <c r="C34" s="7" t="s">
        <v>36</v>
      </c>
      <c r="D34" s="7" t="s">
        <v>22</v>
      </c>
      <c r="E34" s="7" t="s">
        <v>25</v>
      </c>
      <c r="F34" s="7" t="s">
        <v>12</v>
      </c>
      <c r="G34" s="7">
        <v>1</v>
      </c>
      <c r="H34" s="7">
        <v>0</v>
      </c>
      <c r="I34" s="7">
        <v>1</v>
      </c>
      <c r="J34" s="8">
        <v>0.6</v>
      </c>
      <c r="K34" s="9">
        <v>6.7</v>
      </c>
      <c r="M34" s="10"/>
    </row>
    <row r="35" spans="1:13">
      <c r="A35" s="6">
        <v>45383</v>
      </c>
      <c r="B35" s="7" t="s">
        <v>55</v>
      </c>
      <c r="C35" s="7" t="s">
        <v>36</v>
      </c>
      <c r="D35" s="7" t="s">
        <v>29</v>
      </c>
      <c r="E35" s="7" t="s">
        <v>69</v>
      </c>
      <c r="F35" s="7" t="s">
        <v>12</v>
      </c>
      <c r="G35" s="7">
        <v>2</v>
      </c>
      <c r="H35" s="7">
        <v>0</v>
      </c>
      <c r="I35" s="7">
        <v>2</v>
      </c>
      <c r="J35" s="8">
        <v>0.35</v>
      </c>
      <c r="K35" s="9">
        <v>0.7</v>
      </c>
      <c r="M35" s="10"/>
    </row>
    <row r="36" spans="1:13">
      <c r="A36" s="6">
        <v>45383</v>
      </c>
      <c r="B36" s="7" t="s">
        <v>9</v>
      </c>
      <c r="C36" s="7" t="s">
        <v>10</v>
      </c>
      <c r="D36" s="7" t="s">
        <v>22</v>
      </c>
      <c r="E36" s="7" t="s">
        <v>25</v>
      </c>
      <c r="F36" s="7" t="s">
        <v>99</v>
      </c>
      <c r="G36" s="7">
        <v>1</v>
      </c>
      <c r="H36" s="7">
        <v>0</v>
      </c>
      <c r="I36" s="7">
        <v>1</v>
      </c>
      <c r="J36" s="8">
        <v>1</v>
      </c>
      <c r="K36" s="9">
        <v>9.48</v>
      </c>
      <c r="M36" s="10"/>
    </row>
    <row r="37" spans="1:13">
      <c r="A37" s="6">
        <v>45383</v>
      </c>
      <c r="B37" s="7" t="s">
        <v>9</v>
      </c>
      <c r="C37" s="7" t="s">
        <v>10</v>
      </c>
      <c r="D37" s="7" t="s">
        <v>22</v>
      </c>
      <c r="E37" s="7" t="s">
        <v>25</v>
      </c>
      <c r="F37" s="7" t="s">
        <v>99</v>
      </c>
      <c r="G37" s="7">
        <v>1</v>
      </c>
      <c r="H37" s="7">
        <v>0</v>
      </c>
      <c r="I37" s="7">
        <v>1</v>
      </c>
      <c r="J37" s="8">
        <v>1</v>
      </c>
      <c r="K37" s="9">
        <v>9.48</v>
      </c>
      <c r="M37" s="10"/>
    </row>
    <row r="38" spans="1:13">
      <c r="A38" s="6">
        <v>45383</v>
      </c>
      <c r="B38" s="7" t="s">
        <v>9</v>
      </c>
      <c r="C38" s="7" t="s">
        <v>10</v>
      </c>
      <c r="D38" s="7" t="s">
        <v>22</v>
      </c>
      <c r="E38" s="7" t="s">
        <v>25</v>
      </c>
      <c r="F38" s="7" t="s">
        <v>99</v>
      </c>
      <c r="G38" s="7">
        <v>1</v>
      </c>
      <c r="H38" s="7">
        <v>0</v>
      </c>
      <c r="I38" s="7">
        <v>1</v>
      </c>
      <c r="J38" s="8">
        <v>1</v>
      </c>
      <c r="K38" s="9">
        <v>9.48</v>
      </c>
      <c r="M38" s="10"/>
    </row>
    <row r="39" spans="1:13">
      <c r="A39" s="6">
        <v>45383</v>
      </c>
      <c r="B39" s="7" t="s">
        <v>9</v>
      </c>
      <c r="C39" s="7" t="s">
        <v>10</v>
      </c>
      <c r="D39" s="7" t="s">
        <v>22</v>
      </c>
      <c r="E39" s="7" t="s">
        <v>25</v>
      </c>
      <c r="F39" s="7" t="s">
        <v>99</v>
      </c>
      <c r="G39" s="7">
        <v>1</v>
      </c>
      <c r="H39" s="7">
        <v>0</v>
      </c>
      <c r="I39" s="7">
        <v>1</v>
      </c>
      <c r="J39" s="8">
        <v>1</v>
      </c>
      <c r="K39" s="9">
        <v>9.48</v>
      </c>
      <c r="M39" s="10"/>
    </row>
    <row r="40" spans="1:13">
      <c r="A40" s="6">
        <v>45383</v>
      </c>
      <c r="B40" s="7" t="s">
        <v>9</v>
      </c>
      <c r="C40" s="7" t="s">
        <v>10</v>
      </c>
      <c r="D40" s="7" t="s">
        <v>22</v>
      </c>
      <c r="E40" s="7" t="s">
        <v>25</v>
      </c>
      <c r="F40" s="7" t="s">
        <v>99</v>
      </c>
      <c r="G40" s="7">
        <v>1</v>
      </c>
      <c r="H40" s="7">
        <v>0</v>
      </c>
      <c r="I40" s="7">
        <v>1</v>
      </c>
      <c r="J40" s="8">
        <v>1</v>
      </c>
      <c r="K40" s="9">
        <v>9.48</v>
      </c>
      <c r="M40" s="10"/>
    </row>
    <row r="41" spans="1:13">
      <c r="A41" s="6">
        <v>45413</v>
      </c>
      <c r="B41" s="7" t="s">
        <v>9</v>
      </c>
      <c r="C41" s="7" t="s">
        <v>10</v>
      </c>
      <c r="D41" s="7" t="s">
        <v>29</v>
      </c>
      <c r="E41" s="7" t="s">
        <v>69</v>
      </c>
      <c r="F41" s="7" t="s">
        <v>12</v>
      </c>
      <c r="G41" s="7">
        <v>23</v>
      </c>
      <c r="H41" s="7">
        <v>0</v>
      </c>
      <c r="I41" s="7">
        <v>23</v>
      </c>
      <c r="J41" s="8">
        <v>0.35</v>
      </c>
      <c r="K41" s="9">
        <v>8.0500000000000007</v>
      </c>
      <c r="L41" s="8">
        <f>IFERROR(VLOOKUP(B41, Lists!C:G, 5, FALSE), 0)</f>
        <v>1</v>
      </c>
      <c r="M41" s="10"/>
    </row>
    <row r="42" spans="1:13">
      <c r="A42" s="6">
        <v>45413</v>
      </c>
      <c r="B42" s="7" t="s">
        <v>9</v>
      </c>
      <c r="C42" s="7" t="s">
        <v>10</v>
      </c>
      <c r="D42" s="7" t="s">
        <v>29</v>
      </c>
      <c r="E42" s="7" t="s">
        <v>68</v>
      </c>
      <c r="F42" s="7" t="s">
        <v>12</v>
      </c>
      <c r="G42" s="7">
        <v>100</v>
      </c>
      <c r="H42" s="7">
        <v>0</v>
      </c>
      <c r="I42" s="7">
        <v>100</v>
      </c>
      <c r="J42" s="8">
        <v>0.35</v>
      </c>
      <c r="K42" s="9">
        <v>0</v>
      </c>
      <c r="L42" s="8">
        <f>IFERROR(VLOOKUP(B42, Lists!C:G, 5, FALSE), 0)</f>
        <v>1</v>
      </c>
      <c r="M42" s="10"/>
    </row>
    <row r="43" spans="1:13">
      <c r="A43" s="6">
        <v>45413</v>
      </c>
      <c r="B43" s="7" t="s">
        <v>9</v>
      </c>
      <c r="C43" s="7" t="s">
        <v>10</v>
      </c>
      <c r="D43" s="7" t="s">
        <v>29</v>
      </c>
      <c r="E43" s="7" t="s">
        <v>70</v>
      </c>
      <c r="F43" s="7" t="s">
        <v>12</v>
      </c>
      <c r="G43" s="7">
        <v>304</v>
      </c>
      <c r="H43" s="7">
        <v>0</v>
      </c>
      <c r="I43" s="7">
        <v>304</v>
      </c>
      <c r="J43" s="8">
        <v>0.35</v>
      </c>
      <c r="K43" s="9">
        <v>0</v>
      </c>
      <c r="L43" s="8">
        <f>IFERROR(VLOOKUP(B43, Lists!C:G, 5, FALSE), 0)</f>
        <v>1</v>
      </c>
      <c r="M43" s="10"/>
    </row>
    <row r="44" spans="1:13">
      <c r="A44" s="6">
        <v>45413</v>
      </c>
      <c r="B44" s="7" t="s">
        <v>9</v>
      </c>
      <c r="C44" s="7" t="s">
        <v>10</v>
      </c>
      <c r="D44" s="7" t="s">
        <v>29</v>
      </c>
      <c r="E44" s="7" t="s">
        <v>70</v>
      </c>
      <c r="F44" s="7" t="s">
        <v>12</v>
      </c>
      <c r="G44" s="7">
        <v>1</v>
      </c>
      <c r="H44" s="7">
        <v>0</v>
      </c>
      <c r="I44" s="7">
        <v>1</v>
      </c>
      <c r="J44" s="8">
        <v>0.35</v>
      </c>
      <c r="K44" s="9">
        <v>0</v>
      </c>
      <c r="L44" s="8">
        <f>IFERROR(VLOOKUP(B44, Lists!C:G, 5, FALSE), 0)</f>
        <v>1</v>
      </c>
      <c r="M44" s="10"/>
    </row>
    <row r="45" spans="1:13">
      <c r="A45" s="6">
        <v>45413</v>
      </c>
      <c r="B45" s="7" t="s">
        <v>9</v>
      </c>
      <c r="C45" s="7" t="s">
        <v>10</v>
      </c>
      <c r="D45" s="7" t="s">
        <v>29</v>
      </c>
      <c r="E45" s="7" t="s">
        <v>70</v>
      </c>
      <c r="F45" s="7" t="s">
        <v>12</v>
      </c>
      <c r="G45" s="7">
        <v>2</v>
      </c>
      <c r="H45" s="7">
        <v>0</v>
      </c>
      <c r="I45" s="7">
        <v>2</v>
      </c>
      <c r="J45" s="8">
        <v>0.35</v>
      </c>
      <c r="K45" s="9">
        <v>0</v>
      </c>
      <c r="L45" s="8">
        <f>IFERROR(VLOOKUP(B45, Lists!C:G, 5, FALSE), 0)</f>
        <v>1</v>
      </c>
      <c r="M45" s="10"/>
    </row>
    <row r="46" spans="1:13">
      <c r="A46" s="6">
        <v>45413</v>
      </c>
      <c r="B46" s="7" t="s">
        <v>9</v>
      </c>
      <c r="C46" s="7" t="s">
        <v>10</v>
      </c>
      <c r="D46" s="7" t="s">
        <v>29</v>
      </c>
      <c r="E46" s="7" t="s">
        <v>25</v>
      </c>
      <c r="F46" s="7" t="s">
        <v>12</v>
      </c>
      <c r="G46" s="7">
        <v>96</v>
      </c>
      <c r="H46" s="7">
        <v>0</v>
      </c>
      <c r="I46" s="7">
        <v>96</v>
      </c>
      <c r="J46" s="8">
        <v>0.35</v>
      </c>
      <c r="K46" s="9">
        <v>33.6</v>
      </c>
      <c r="L46" s="8">
        <f>IFERROR(VLOOKUP(B46, Lists!C:G, 5, FALSE), 0)</f>
        <v>1</v>
      </c>
      <c r="M46" s="10"/>
    </row>
    <row r="47" spans="1:13">
      <c r="A47" s="6">
        <v>45413</v>
      </c>
      <c r="B47" s="7" t="s">
        <v>9</v>
      </c>
      <c r="C47" s="7" t="s">
        <v>10</v>
      </c>
      <c r="D47" s="7" t="s">
        <v>29</v>
      </c>
      <c r="E47" s="7" t="s">
        <v>70</v>
      </c>
      <c r="F47" s="7" t="s">
        <v>28</v>
      </c>
      <c r="G47" s="7">
        <v>2</v>
      </c>
      <c r="H47" s="7">
        <v>0</v>
      </c>
      <c r="I47" s="7">
        <v>2</v>
      </c>
      <c r="J47" s="8">
        <v>0.35</v>
      </c>
      <c r="K47" s="9">
        <v>0</v>
      </c>
      <c r="L47" s="8">
        <f>IFERROR(VLOOKUP(B47, Lists!C:G, 5, FALSE), 0)</f>
        <v>1</v>
      </c>
      <c r="M47" s="10"/>
    </row>
    <row r="48" spans="1:13">
      <c r="A48" s="6">
        <v>45413</v>
      </c>
      <c r="B48" s="7" t="s">
        <v>9</v>
      </c>
      <c r="C48" s="7" t="s">
        <v>10</v>
      </c>
      <c r="D48" s="7" t="s">
        <v>29</v>
      </c>
      <c r="E48" s="7" t="s">
        <v>25</v>
      </c>
      <c r="F48" s="7" t="s">
        <v>61</v>
      </c>
      <c r="G48" s="7">
        <v>1</v>
      </c>
      <c r="H48" s="7">
        <v>0</v>
      </c>
      <c r="I48" s="7">
        <v>1</v>
      </c>
      <c r="J48" s="8">
        <v>0.35</v>
      </c>
      <c r="K48" s="9">
        <v>0.3</v>
      </c>
      <c r="L48" s="8">
        <f>IFERROR(VLOOKUP(B48, Lists!C:G, 5, FALSE), 0)</f>
        <v>1</v>
      </c>
      <c r="M48" s="10"/>
    </row>
    <row r="49" spans="1:13">
      <c r="A49" s="6">
        <v>45413</v>
      </c>
      <c r="B49" s="7" t="s">
        <v>9</v>
      </c>
      <c r="C49" s="7" t="s">
        <v>10</v>
      </c>
      <c r="D49" s="7" t="s">
        <v>29</v>
      </c>
      <c r="E49" s="7" t="s">
        <v>70</v>
      </c>
      <c r="F49" s="7" t="s">
        <v>63</v>
      </c>
      <c r="G49" s="7">
        <v>1</v>
      </c>
      <c r="H49" s="7">
        <v>0</v>
      </c>
      <c r="I49" s="7">
        <v>1</v>
      </c>
      <c r="J49" s="8">
        <v>0.35</v>
      </c>
      <c r="K49" s="9">
        <v>0</v>
      </c>
      <c r="L49" s="8">
        <f>IFERROR(VLOOKUP(B49, Lists!C:G, 5, FALSE), 0)</f>
        <v>1</v>
      </c>
      <c r="M49" s="10"/>
    </row>
    <row r="50" spans="1:13">
      <c r="A50" s="6">
        <v>45413</v>
      </c>
      <c r="B50" s="7" t="s">
        <v>9</v>
      </c>
      <c r="C50" s="7" t="s">
        <v>10</v>
      </c>
      <c r="D50" s="7" t="s">
        <v>29</v>
      </c>
      <c r="E50" s="7" t="s">
        <v>69</v>
      </c>
      <c r="F50" s="7" t="s">
        <v>16</v>
      </c>
      <c r="G50" s="7">
        <v>1</v>
      </c>
      <c r="H50" s="7">
        <v>0</v>
      </c>
      <c r="I50" s="7">
        <v>1</v>
      </c>
      <c r="J50" s="8">
        <v>0.35</v>
      </c>
      <c r="K50" s="9">
        <v>0.47</v>
      </c>
      <c r="L50" s="8">
        <f>IFERROR(VLOOKUP(B50, Lists!C:G, 5, FALSE), 0)</f>
        <v>1</v>
      </c>
      <c r="M50" s="10"/>
    </row>
    <row r="51" spans="1:13">
      <c r="A51" s="6">
        <v>45413</v>
      </c>
      <c r="B51" s="7" t="s">
        <v>9</v>
      </c>
      <c r="C51" s="7" t="s">
        <v>10</v>
      </c>
      <c r="D51" s="7" t="s">
        <v>29</v>
      </c>
      <c r="E51" s="7" t="s">
        <v>69</v>
      </c>
      <c r="F51" s="7" t="s">
        <v>16</v>
      </c>
      <c r="G51" s="7">
        <v>1</v>
      </c>
      <c r="H51" s="7">
        <v>0</v>
      </c>
      <c r="I51" s="7">
        <v>1</v>
      </c>
      <c r="J51" s="8">
        <v>0.35</v>
      </c>
      <c r="K51" s="9">
        <v>0.47</v>
      </c>
      <c r="L51" s="8">
        <f>IFERROR(VLOOKUP(B51, Lists!C:G, 5, FALSE), 0)</f>
        <v>1</v>
      </c>
      <c r="M51" s="10"/>
    </row>
    <row r="52" spans="1:13">
      <c r="A52" s="6">
        <v>45413</v>
      </c>
      <c r="B52" s="7" t="s">
        <v>9</v>
      </c>
      <c r="C52" s="7" t="s">
        <v>10</v>
      </c>
      <c r="D52" s="7" t="s">
        <v>29</v>
      </c>
      <c r="E52" s="7" t="s">
        <v>70</v>
      </c>
      <c r="F52" s="7" t="s">
        <v>16</v>
      </c>
      <c r="G52" s="7">
        <v>10</v>
      </c>
      <c r="H52" s="7">
        <v>0</v>
      </c>
      <c r="I52" s="7">
        <v>10</v>
      </c>
      <c r="J52" s="8">
        <v>0.35</v>
      </c>
      <c r="K52" s="9">
        <v>0</v>
      </c>
      <c r="M52" s="10"/>
    </row>
    <row r="53" spans="1:13">
      <c r="A53" s="6">
        <v>45413</v>
      </c>
      <c r="B53" s="7" t="s">
        <v>9</v>
      </c>
      <c r="C53" s="7" t="s">
        <v>10</v>
      </c>
      <c r="D53" s="7" t="s">
        <v>29</v>
      </c>
      <c r="E53" s="7" t="s">
        <v>70</v>
      </c>
      <c r="F53" s="7" t="s">
        <v>60</v>
      </c>
      <c r="G53" s="7">
        <v>2</v>
      </c>
      <c r="H53" s="7">
        <v>0</v>
      </c>
      <c r="I53" s="7">
        <v>2</v>
      </c>
      <c r="J53" s="8">
        <v>0.35</v>
      </c>
      <c r="K53" s="9">
        <v>0</v>
      </c>
      <c r="M53" s="10"/>
    </row>
    <row r="54" spans="1:13">
      <c r="A54" s="6">
        <v>45413</v>
      </c>
      <c r="B54" s="7" t="s">
        <v>9</v>
      </c>
      <c r="C54" s="7" t="s">
        <v>10</v>
      </c>
      <c r="D54" s="7" t="s">
        <v>29</v>
      </c>
      <c r="E54" s="7" t="s">
        <v>70</v>
      </c>
      <c r="F54" s="7" t="s">
        <v>59</v>
      </c>
      <c r="G54" s="7">
        <v>6</v>
      </c>
      <c r="H54" s="7">
        <v>0</v>
      </c>
      <c r="I54" s="7">
        <v>6</v>
      </c>
      <c r="J54" s="8">
        <v>0.35</v>
      </c>
      <c r="K54" s="9">
        <v>0</v>
      </c>
      <c r="M54" s="10"/>
    </row>
    <row r="55" spans="1:13">
      <c r="A55" s="6">
        <v>45413</v>
      </c>
      <c r="B55" s="7" t="s">
        <v>9</v>
      </c>
      <c r="C55" s="7" t="s">
        <v>10</v>
      </c>
      <c r="D55" s="7" t="s">
        <v>29</v>
      </c>
      <c r="E55" s="7" t="s">
        <v>70</v>
      </c>
      <c r="F55" s="7" t="s">
        <v>62</v>
      </c>
      <c r="G55" s="7">
        <v>2</v>
      </c>
      <c r="H55" s="7">
        <v>0</v>
      </c>
      <c r="I55" s="7">
        <v>2</v>
      </c>
      <c r="J55" s="8">
        <v>0.35</v>
      </c>
      <c r="K55" s="9">
        <v>0</v>
      </c>
      <c r="M55" s="10"/>
    </row>
    <row r="56" spans="1:13">
      <c r="A56" s="6">
        <v>45413</v>
      </c>
      <c r="B56" s="7" t="s">
        <v>9</v>
      </c>
      <c r="C56" s="7" t="s">
        <v>10</v>
      </c>
      <c r="D56" s="7" t="s">
        <v>22</v>
      </c>
      <c r="E56" s="7" t="s">
        <v>25</v>
      </c>
      <c r="F56" s="7" t="s">
        <v>12</v>
      </c>
      <c r="G56" s="7">
        <v>1</v>
      </c>
      <c r="H56" s="7">
        <v>0</v>
      </c>
      <c r="I56" s="7">
        <v>1</v>
      </c>
      <c r="J56" s="8">
        <v>0.6</v>
      </c>
      <c r="K56" s="9">
        <v>1.1100000000000001</v>
      </c>
      <c r="M56" s="10"/>
    </row>
    <row r="57" spans="1:13">
      <c r="A57" s="6">
        <v>45413</v>
      </c>
      <c r="B57" s="7" t="s">
        <v>9</v>
      </c>
      <c r="C57" s="7" t="s">
        <v>10</v>
      </c>
      <c r="D57" s="7" t="s">
        <v>22</v>
      </c>
      <c r="E57" s="7" t="s">
        <v>25</v>
      </c>
      <c r="F57" s="7" t="s">
        <v>12</v>
      </c>
      <c r="G57" s="7">
        <v>1</v>
      </c>
      <c r="H57" s="7">
        <v>0</v>
      </c>
      <c r="I57" s="7">
        <v>1</v>
      </c>
      <c r="J57" s="8">
        <v>0.6</v>
      </c>
      <c r="K57" s="9">
        <v>1.1100000000000001</v>
      </c>
      <c r="M57" s="10"/>
    </row>
    <row r="58" spans="1:13">
      <c r="A58" s="6">
        <v>45413</v>
      </c>
      <c r="B58" s="7" t="s">
        <v>9</v>
      </c>
      <c r="C58" s="7" t="s">
        <v>10</v>
      </c>
      <c r="D58" s="7" t="s">
        <v>22</v>
      </c>
      <c r="E58" s="7" t="s">
        <v>25</v>
      </c>
      <c r="F58" s="7" t="s">
        <v>12</v>
      </c>
      <c r="G58" s="7">
        <v>1</v>
      </c>
      <c r="H58" s="7">
        <v>0</v>
      </c>
      <c r="I58" s="7">
        <v>1</v>
      </c>
      <c r="J58" s="8">
        <v>0.6</v>
      </c>
      <c r="K58" s="9">
        <v>1.1100000000000001</v>
      </c>
      <c r="M58" s="10"/>
    </row>
    <row r="59" spans="1:13">
      <c r="A59" s="6">
        <v>45413</v>
      </c>
      <c r="B59" s="7" t="s">
        <v>9</v>
      </c>
      <c r="C59" s="7" t="s">
        <v>10</v>
      </c>
      <c r="D59" s="7" t="s">
        <v>22</v>
      </c>
      <c r="E59" s="7" t="s">
        <v>25</v>
      </c>
      <c r="F59" s="7" t="s">
        <v>12</v>
      </c>
      <c r="G59" s="7">
        <v>1</v>
      </c>
      <c r="H59" s="7">
        <v>0</v>
      </c>
      <c r="I59" s="7">
        <v>1</v>
      </c>
      <c r="J59" s="8">
        <v>0.6</v>
      </c>
      <c r="K59" s="9">
        <v>1.1100000000000001</v>
      </c>
      <c r="M59" s="10"/>
    </row>
    <row r="60" spans="1:13">
      <c r="A60" s="6">
        <v>45413</v>
      </c>
      <c r="B60" s="7" t="s">
        <v>9</v>
      </c>
      <c r="C60" s="7" t="s">
        <v>10</v>
      </c>
      <c r="D60" s="7" t="s">
        <v>22</v>
      </c>
      <c r="E60" s="7" t="s">
        <v>25</v>
      </c>
      <c r="F60" s="7" t="s">
        <v>12</v>
      </c>
      <c r="G60" s="7">
        <v>1</v>
      </c>
      <c r="H60" s="7">
        <v>0</v>
      </c>
      <c r="I60" s="7">
        <v>1</v>
      </c>
      <c r="J60" s="8">
        <v>0.6</v>
      </c>
      <c r="K60" s="9">
        <v>1.1100000000000001</v>
      </c>
      <c r="M60" s="10"/>
    </row>
    <row r="61" spans="1:13">
      <c r="A61" s="6">
        <v>45413</v>
      </c>
      <c r="B61" s="7" t="s">
        <v>9</v>
      </c>
      <c r="C61" s="7" t="s">
        <v>10</v>
      </c>
      <c r="D61" s="7" t="s">
        <v>22</v>
      </c>
      <c r="E61" s="7" t="s">
        <v>25</v>
      </c>
      <c r="F61" s="7" t="s">
        <v>12</v>
      </c>
      <c r="G61" s="7">
        <v>7</v>
      </c>
      <c r="H61" s="7">
        <v>0</v>
      </c>
      <c r="I61" s="7">
        <v>7</v>
      </c>
      <c r="J61" s="8">
        <v>0.6</v>
      </c>
      <c r="K61" s="9">
        <v>7.77</v>
      </c>
      <c r="M61" s="10"/>
    </row>
    <row r="62" spans="1:13">
      <c r="A62" s="6">
        <v>45413</v>
      </c>
      <c r="B62" s="7" t="s">
        <v>9</v>
      </c>
      <c r="C62" s="7" t="s">
        <v>10</v>
      </c>
      <c r="D62" s="7" t="s">
        <v>22</v>
      </c>
      <c r="E62" s="7" t="s">
        <v>25</v>
      </c>
      <c r="F62" s="7" t="s">
        <v>12</v>
      </c>
      <c r="G62" s="7">
        <v>3</v>
      </c>
      <c r="H62" s="7">
        <v>0</v>
      </c>
      <c r="I62" s="7">
        <v>3</v>
      </c>
      <c r="J62" s="8">
        <v>0.6</v>
      </c>
      <c r="K62" s="9">
        <v>3.33</v>
      </c>
      <c r="M62" s="10"/>
    </row>
    <row r="63" spans="1:13">
      <c r="A63" s="6">
        <v>45413</v>
      </c>
      <c r="B63" s="7" t="s">
        <v>9</v>
      </c>
      <c r="C63" s="7" t="s">
        <v>10</v>
      </c>
      <c r="D63" s="7" t="s">
        <v>29</v>
      </c>
      <c r="E63" s="7" t="s">
        <v>26</v>
      </c>
      <c r="F63" s="7" t="s">
        <v>16</v>
      </c>
      <c r="G63" s="7">
        <v>514</v>
      </c>
      <c r="H63" s="7">
        <v>0</v>
      </c>
      <c r="I63" s="7">
        <v>0</v>
      </c>
      <c r="J63" s="8">
        <v>0</v>
      </c>
      <c r="K63" s="9">
        <v>2.2585160000000002</v>
      </c>
      <c r="M63" s="10"/>
    </row>
    <row r="64" spans="1:13">
      <c r="A64" s="6">
        <v>45413</v>
      </c>
      <c r="B64" s="7" t="s">
        <v>9</v>
      </c>
      <c r="C64" s="7" t="s">
        <v>10</v>
      </c>
      <c r="D64" s="7" t="s">
        <v>29</v>
      </c>
      <c r="E64" s="7" t="s">
        <v>26</v>
      </c>
      <c r="F64" s="7" t="s">
        <v>12</v>
      </c>
      <c r="G64" s="7">
        <v>4976</v>
      </c>
      <c r="H64" s="7">
        <v>0</v>
      </c>
      <c r="I64" s="7">
        <v>0</v>
      </c>
      <c r="J64" s="8">
        <v>0</v>
      </c>
      <c r="K64" s="9">
        <v>21.864544000000002</v>
      </c>
      <c r="M64" s="10"/>
    </row>
    <row r="65" spans="1:12">
      <c r="A65" s="6">
        <v>45413</v>
      </c>
      <c r="B65" s="7" t="s">
        <v>9</v>
      </c>
      <c r="C65" s="7" t="s">
        <v>10</v>
      </c>
      <c r="D65" s="7" t="s">
        <v>29</v>
      </c>
      <c r="E65" s="7" t="s">
        <v>26</v>
      </c>
      <c r="F65" s="7" t="s">
        <v>62</v>
      </c>
      <c r="G65" s="7">
        <v>363</v>
      </c>
      <c r="H65" s="7">
        <v>0</v>
      </c>
      <c r="I65" s="7">
        <v>0</v>
      </c>
      <c r="J65" s="8">
        <v>0</v>
      </c>
      <c r="K65" s="9">
        <v>1.5950220000000002</v>
      </c>
    </row>
    <row r="66" spans="1:12">
      <c r="A66" s="6">
        <v>45423</v>
      </c>
      <c r="B66" s="7" t="s">
        <v>9</v>
      </c>
      <c r="C66" s="7" t="s">
        <v>10</v>
      </c>
      <c r="D66" s="7" t="s">
        <v>22</v>
      </c>
      <c r="E66" s="7" t="s">
        <v>25</v>
      </c>
      <c r="F66" s="7" t="s">
        <v>99</v>
      </c>
      <c r="G66" s="7">
        <v>1</v>
      </c>
      <c r="H66" s="7">
        <v>0</v>
      </c>
      <c r="I66" s="7">
        <v>1</v>
      </c>
      <c r="J66" s="8">
        <v>1</v>
      </c>
      <c r="K66" s="9">
        <v>10</v>
      </c>
      <c r="L66" s="8">
        <f>IFERROR(VLOOKUP(B66, Lists!C:G, 5, FALSE), 0)</f>
        <v>1</v>
      </c>
    </row>
    <row r="67" spans="1:12">
      <c r="A67" s="6">
        <v>45423</v>
      </c>
      <c r="B67" s="7" t="s">
        <v>9</v>
      </c>
      <c r="C67" s="7" t="s">
        <v>10</v>
      </c>
      <c r="D67" s="7" t="s">
        <v>22</v>
      </c>
      <c r="E67" s="7" t="s">
        <v>25</v>
      </c>
      <c r="F67" s="7" t="s">
        <v>99</v>
      </c>
      <c r="G67" s="7">
        <v>1</v>
      </c>
      <c r="H67" s="7">
        <v>0</v>
      </c>
      <c r="I67" s="7">
        <v>1</v>
      </c>
      <c r="J67" s="8">
        <v>1</v>
      </c>
      <c r="K67" s="9">
        <v>5</v>
      </c>
      <c r="L67" s="8">
        <f>IFERROR(VLOOKUP(B67, Lists!C:G, 5, FALSE), 0)</f>
        <v>1</v>
      </c>
    </row>
    <row r="68" spans="1:12">
      <c r="A68" s="6">
        <v>45423</v>
      </c>
      <c r="B68" s="7" t="s">
        <v>9</v>
      </c>
      <c r="C68" s="7" t="s">
        <v>10</v>
      </c>
      <c r="D68" s="7" t="s">
        <v>22</v>
      </c>
      <c r="E68" s="7" t="s">
        <v>25</v>
      </c>
      <c r="F68" s="7" t="s">
        <v>99</v>
      </c>
      <c r="G68" s="7">
        <v>1</v>
      </c>
      <c r="H68" s="7">
        <v>0</v>
      </c>
      <c r="I68" s="7">
        <v>1</v>
      </c>
      <c r="J68" s="8">
        <v>1</v>
      </c>
      <c r="K68" s="9">
        <v>5</v>
      </c>
      <c r="L68" s="8">
        <f>IFERROR(VLOOKUP(B68, Lists!C:G, 5, FALSE), 0)</f>
        <v>1</v>
      </c>
    </row>
    <row r="69" spans="1:12">
      <c r="A69" s="6">
        <v>45423</v>
      </c>
      <c r="B69" s="7" t="s">
        <v>9</v>
      </c>
      <c r="C69" s="7" t="s">
        <v>10</v>
      </c>
      <c r="D69" s="7" t="s">
        <v>22</v>
      </c>
      <c r="E69" s="7" t="s">
        <v>25</v>
      </c>
      <c r="F69" s="7" t="s">
        <v>99</v>
      </c>
      <c r="G69" s="7">
        <v>1</v>
      </c>
      <c r="H69" s="7">
        <v>0</v>
      </c>
      <c r="I69" s="7">
        <v>1</v>
      </c>
      <c r="J69" s="8">
        <v>1</v>
      </c>
      <c r="K69" s="9">
        <v>5</v>
      </c>
      <c r="L69" s="8">
        <f>IFERROR(VLOOKUP(B69, Lists!C:G, 5, FALSE), 0)</f>
        <v>1</v>
      </c>
    </row>
    <row r="70" spans="1:12">
      <c r="A70" s="6">
        <v>45423</v>
      </c>
      <c r="B70" s="7" t="s">
        <v>9</v>
      </c>
      <c r="C70" s="7" t="s">
        <v>10</v>
      </c>
      <c r="D70" s="7" t="s">
        <v>22</v>
      </c>
      <c r="E70" s="7" t="s">
        <v>25</v>
      </c>
      <c r="F70" s="7" t="s">
        <v>99</v>
      </c>
      <c r="G70" s="7">
        <v>1</v>
      </c>
      <c r="H70" s="7">
        <v>0</v>
      </c>
      <c r="I70" s="7">
        <v>1</v>
      </c>
      <c r="J70" s="8">
        <v>1</v>
      </c>
      <c r="K70" s="9">
        <v>5</v>
      </c>
      <c r="L70" s="8">
        <f>IFERROR(VLOOKUP(B70, Lists!C:G, 5, FALSE), 0)</f>
        <v>1</v>
      </c>
    </row>
    <row r="71" spans="1:12">
      <c r="A71" s="6">
        <v>45427</v>
      </c>
      <c r="B71" s="7" t="s">
        <v>9</v>
      </c>
      <c r="C71" s="7" t="s">
        <v>10</v>
      </c>
      <c r="D71" s="7" t="s">
        <v>22</v>
      </c>
      <c r="E71" s="7" t="s">
        <v>25</v>
      </c>
      <c r="F71" s="7" t="s">
        <v>99</v>
      </c>
      <c r="G71" s="7">
        <v>1</v>
      </c>
      <c r="H71" s="7">
        <v>0</v>
      </c>
      <c r="I71" s="7">
        <v>1</v>
      </c>
      <c r="J71" s="8">
        <v>1</v>
      </c>
      <c r="K71" s="9">
        <v>5</v>
      </c>
      <c r="L71" s="8">
        <v>1</v>
      </c>
    </row>
    <row r="72" spans="1:12">
      <c r="A72" s="6">
        <v>45444</v>
      </c>
      <c r="B72" s="7" t="s">
        <v>9</v>
      </c>
      <c r="C72" s="7" t="s">
        <v>10</v>
      </c>
      <c r="D72" s="7" t="s">
        <v>29</v>
      </c>
      <c r="E72" s="7" t="s">
        <v>25</v>
      </c>
      <c r="F72" s="7" t="s">
        <v>12</v>
      </c>
      <c r="G72" s="7">
        <v>3</v>
      </c>
      <c r="H72" s="7">
        <v>0</v>
      </c>
      <c r="I72" s="7">
        <v>3</v>
      </c>
      <c r="J72" s="8">
        <v>0.35</v>
      </c>
      <c r="K72" s="9">
        <v>1.05</v>
      </c>
      <c r="L72" s="8">
        <f>IFERROR(VLOOKUP(B72, Lists!C:G, 5, FALSE), 0)</f>
        <v>1</v>
      </c>
    </row>
    <row r="73" spans="1:12">
      <c r="A73" s="6">
        <v>45444</v>
      </c>
      <c r="B73" s="7" t="s">
        <v>9</v>
      </c>
      <c r="C73" s="7" t="s">
        <v>10</v>
      </c>
      <c r="D73" s="7" t="s">
        <v>29</v>
      </c>
      <c r="E73" s="7" t="s">
        <v>25</v>
      </c>
      <c r="F73" s="7" t="s">
        <v>16</v>
      </c>
      <c r="G73" s="7">
        <v>1</v>
      </c>
      <c r="H73" s="7">
        <v>0</v>
      </c>
      <c r="I73" s="7">
        <v>1</v>
      </c>
      <c r="J73" s="8">
        <v>0.35</v>
      </c>
      <c r="K73" s="9">
        <v>0.47</v>
      </c>
      <c r="L73" s="8">
        <f>IFERROR(VLOOKUP(B73, Lists!C:G, 5, FALSE), 0)</f>
        <v>1</v>
      </c>
    </row>
    <row r="74" spans="1:12">
      <c r="A74" s="6">
        <v>45444</v>
      </c>
      <c r="B74" s="7" t="s">
        <v>9</v>
      </c>
      <c r="C74" s="7" t="s">
        <v>10</v>
      </c>
      <c r="D74" s="7" t="s">
        <v>29</v>
      </c>
      <c r="E74" s="7" t="s">
        <v>26</v>
      </c>
      <c r="F74" s="7" t="s">
        <v>12</v>
      </c>
      <c r="G74" s="7">
        <v>770</v>
      </c>
      <c r="H74" s="7">
        <v>0</v>
      </c>
      <c r="I74" s="7">
        <v>0</v>
      </c>
      <c r="J74" s="8">
        <v>0</v>
      </c>
      <c r="K74" s="9">
        <v>3.3833800000000003</v>
      </c>
      <c r="L74" s="8">
        <f>IFERROR(VLOOKUP(B74, Lists!C:G, 5, FALSE), 0)</f>
        <v>1</v>
      </c>
    </row>
    <row r="75" spans="1:12">
      <c r="A75" s="6">
        <v>45474</v>
      </c>
      <c r="B75" s="7" t="s">
        <v>9</v>
      </c>
      <c r="C75" s="7" t="s">
        <v>10</v>
      </c>
      <c r="D75" s="7" t="s">
        <v>22</v>
      </c>
      <c r="E75" s="7" t="s">
        <v>25</v>
      </c>
      <c r="F75" s="7" t="s">
        <v>12</v>
      </c>
      <c r="G75" s="7">
        <v>1</v>
      </c>
      <c r="H75" s="7">
        <v>0</v>
      </c>
      <c r="I75" s="7">
        <v>1</v>
      </c>
      <c r="J75" s="8">
        <v>0.6</v>
      </c>
      <c r="K75" s="9">
        <v>1.1100000000000001</v>
      </c>
      <c r="L75" s="8">
        <f>IFERROR(VLOOKUP(B75, Lists!C:G, 5, FALSE), 0)</f>
        <v>1</v>
      </c>
    </row>
    <row r="76" spans="1:12">
      <c r="A76" s="6">
        <v>45474</v>
      </c>
      <c r="B76" s="7" t="s">
        <v>9</v>
      </c>
      <c r="C76" s="7" t="s">
        <v>10</v>
      </c>
      <c r="D76" s="7" t="s">
        <v>29</v>
      </c>
      <c r="E76" s="7" t="s">
        <v>26</v>
      </c>
      <c r="F76" s="7" t="s">
        <v>28</v>
      </c>
      <c r="G76" s="7">
        <v>5</v>
      </c>
      <c r="H76" s="7">
        <v>0</v>
      </c>
      <c r="I76" s="7">
        <v>0</v>
      </c>
      <c r="J76" s="8">
        <v>0</v>
      </c>
      <c r="K76" s="9">
        <v>2.1970000000000003E-2</v>
      </c>
      <c r="L76" s="8">
        <f>IFERROR(VLOOKUP(B76, Lists!C:G, 5, FALSE), 0)</f>
        <v>1</v>
      </c>
    </row>
    <row r="77" spans="1:12">
      <c r="A77" s="6">
        <v>45474</v>
      </c>
      <c r="B77" s="7" t="s">
        <v>9</v>
      </c>
      <c r="C77" s="7" t="s">
        <v>10</v>
      </c>
      <c r="D77" s="7" t="s">
        <v>29</v>
      </c>
      <c r="E77" s="7" t="s">
        <v>26</v>
      </c>
      <c r="F77" s="7" t="s">
        <v>12</v>
      </c>
      <c r="G77" s="7">
        <v>1010</v>
      </c>
      <c r="H77" s="7">
        <v>0</v>
      </c>
      <c r="I77" s="7">
        <v>0</v>
      </c>
      <c r="J77" s="8">
        <v>0</v>
      </c>
      <c r="K77" s="9">
        <v>4.4379400000000002</v>
      </c>
      <c r="L77" s="8">
        <f>IFERROR(VLOOKUP(B77, Lists!C:G, 5, FALSE), 0)</f>
        <v>1</v>
      </c>
    </row>
    <row r="78" spans="1:12">
      <c r="A78" s="6">
        <v>45505</v>
      </c>
      <c r="B78" s="7" t="s">
        <v>9</v>
      </c>
      <c r="C78" s="7" t="s">
        <v>10</v>
      </c>
      <c r="D78" s="7" t="s">
        <v>22</v>
      </c>
      <c r="E78" s="7" t="s">
        <v>25</v>
      </c>
      <c r="F78" s="7" t="s">
        <v>12</v>
      </c>
      <c r="G78" s="7">
        <v>1</v>
      </c>
      <c r="H78" s="7">
        <v>0</v>
      </c>
      <c r="I78" s="7">
        <v>1</v>
      </c>
      <c r="J78" s="8">
        <v>0.6</v>
      </c>
      <c r="K78" s="9">
        <v>1.1100000000000001</v>
      </c>
      <c r="L78" s="8">
        <f>IFERROR(VLOOKUP(B78, Lists!C:G, 5, FALSE), 0)</f>
        <v>1</v>
      </c>
    </row>
    <row r="79" spans="1:12">
      <c r="A79" s="6">
        <v>45505</v>
      </c>
      <c r="B79" s="7" t="s">
        <v>9</v>
      </c>
      <c r="C79" s="7" t="s">
        <v>10</v>
      </c>
      <c r="D79" s="7" t="s">
        <v>22</v>
      </c>
      <c r="E79" s="7" t="s">
        <v>25</v>
      </c>
      <c r="F79" s="7" t="s">
        <v>12</v>
      </c>
      <c r="G79" s="7">
        <v>1</v>
      </c>
      <c r="H79" s="7">
        <v>0</v>
      </c>
      <c r="I79" s="7">
        <v>1</v>
      </c>
      <c r="J79" s="8">
        <v>0.6</v>
      </c>
      <c r="K79" s="9">
        <v>1.1100000000000001</v>
      </c>
      <c r="L79" s="8">
        <f>IFERROR(VLOOKUP(B79, Lists!C:G, 5, FALSE), 0)</f>
        <v>1</v>
      </c>
    </row>
    <row r="80" spans="1:12">
      <c r="A80" s="6">
        <v>45505</v>
      </c>
      <c r="B80" s="7" t="s">
        <v>9</v>
      </c>
      <c r="C80" s="7" t="s">
        <v>10</v>
      </c>
      <c r="D80" s="7" t="s">
        <v>22</v>
      </c>
      <c r="E80" s="7" t="s">
        <v>25</v>
      </c>
      <c r="F80" s="7" t="s">
        <v>12</v>
      </c>
      <c r="G80" s="7">
        <v>1</v>
      </c>
      <c r="H80" s="7">
        <v>0</v>
      </c>
      <c r="I80" s="7">
        <v>1</v>
      </c>
      <c r="J80" s="8">
        <v>0.6</v>
      </c>
      <c r="K80" s="9">
        <v>1.1100000000000001</v>
      </c>
      <c r="L80" s="8">
        <f>IFERROR(VLOOKUP(B80, Lists!C:G, 5, FALSE), 0)</f>
        <v>1</v>
      </c>
    </row>
    <row r="81" spans="1:12">
      <c r="A81" s="6">
        <v>45505</v>
      </c>
      <c r="B81" s="7" t="s">
        <v>9</v>
      </c>
      <c r="C81" s="7" t="s">
        <v>10</v>
      </c>
      <c r="D81" s="7" t="s">
        <v>22</v>
      </c>
      <c r="E81" s="7" t="s">
        <v>25</v>
      </c>
      <c r="F81" s="7" t="s">
        <v>12</v>
      </c>
      <c r="G81" s="7">
        <v>1</v>
      </c>
      <c r="H81" s="7">
        <v>0</v>
      </c>
      <c r="I81" s="7">
        <v>1</v>
      </c>
      <c r="J81" s="8">
        <v>0.6</v>
      </c>
      <c r="K81" s="9">
        <v>1.55</v>
      </c>
      <c r="L81" s="8">
        <f>IFERROR(VLOOKUP(B81, Lists!C:G, 5, FALSE), 0)</f>
        <v>1</v>
      </c>
    </row>
    <row r="82" spans="1:12">
      <c r="A82" s="6">
        <v>45505</v>
      </c>
      <c r="B82" s="7" t="s">
        <v>9</v>
      </c>
      <c r="C82" s="7" t="s">
        <v>10</v>
      </c>
      <c r="D82" s="7" t="s">
        <v>29</v>
      </c>
      <c r="E82" s="7" t="s">
        <v>26</v>
      </c>
      <c r="F82" s="7" t="s">
        <v>12</v>
      </c>
      <c r="G82" s="7">
        <v>1058</v>
      </c>
      <c r="H82" s="7">
        <v>0</v>
      </c>
      <c r="I82" s="7">
        <v>0</v>
      </c>
      <c r="J82" s="8">
        <v>0</v>
      </c>
      <c r="K82" s="9">
        <v>4.6488520000000007</v>
      </c>
      <c r="L82" s="8">
        <f>IFERROR(VLOOKUP(B82, Lists!C:G, 5, FALSE), 0)</f>
        <v>1</v>
      </c>
    </row>
    <row r="83" spans="1:12">
      <c r="A83" s="6">
        <v>45536</v>
      </c>
      <c r="B83" s="7" t="s">
        <v>9</v>
      </c>
      <c r="C83" s="7" t="s">
        <v>10</v>
      </c>
      <c r="D83" s="7" t="s">
        <v>29</v>
      </c>
      <c r="E83" s="7" t="s">
        <v>68</v>
      </c>
      <c r="F83" s="7" t="s">
        <v>12</v>
      </c>
      <c r="G83" s="7">
        <v>100</v>
      </c>
      <c r="H83" s="7">
        <v>0</v>
      </c>
      <c r="I83" s="7">
        <v>100</v>
      </c>
      <c r="J83" s="8">
        <v>0.35</v>
      </c>
      <c r="K83" s="9">
        <v>0</v>
      </c>
      <c r="L83" s="8">
        <f>IFERROR(VLOOKUP(B83, Lists!C:G, 5, FALSE), 0)</f>
        <v>1</v>
      </c>
    </row>
    <row r="84" spans="1:12">
      <c r="A84" s="6">
        <v>45536</v>
      </c>
      <c r="B84" s="7" t="s">
        <v>9</v>
      </c>
      <c r="C84" s="7" t="s">
        <v>10</v>
      </c>
      <c r="D84" s="7" t="s">
        <v>29</v>
      </c>
      <c r="E84" s="7" t="s">
        <v>25</v>
      </c>
      <c r="F84" s="7" t="s">
        <v>12</v>
      </c>
      <c r="G84" s="7">
        <v>1</v>
      </c>
      <c r="H84" s="7">
        <v>0</v>
      </c>
      <c r="I84" s="7">
        <v>1</v>
      </c>
      <c r="J84" s="8">
        <v>0.35</v>
      </c>
      <c r="K84" s="9">
        <v>0.35</v>
      </c>
      <c r="L84" s="8">
        <f>IFERROR(VLOOKUP(B84, Lists!C:G, 5, FALSE), 0)</f>
        <v>1</v>
      </c>
    </row>
    <row r="85" spans="1:12">
      <c r="A85" s="6">
        <v>45536</v>
      </c>
      <c r="B85" s="7" t="s">
        <v>9</v>
      </c>
      <c r="C85" s="7" t="s">
        <v>10</v>
      </c>
      <c r="D85" s="7" t="s">
        <v>22</v>
      </c>
      <c r="E85" s="7" t="s">
        <v>25</v>
      </c>
      <c r="F85" s="7" t="s">
        <v>12</v>
      </c>
      <c r="G85" s="7">
        <v>1</v>
      </c>
      <c r="H85" s="7">
        <v>0</v>
      </c>
      <c r="I85" s="7">
        <v>1</v>
      </c>
      <c r="J85" s="8">
        <v>0.6</v>
      </c>
      <c r="K85" s="9">
        <v>1.1100000000000001</v>
      </c>
      <c r="L85" s="8">
        <f>IFERROR(VLOOKUP(B85, Lists!C:G, 5, FALSE), 0)</f>
        <v>1</v>
      </c>
    </row>
    <row r="86" spans="1:12">
      <c r="A86" s="6">
        <v>45536</v>
      </c>
      <c r="B86" s="7" t="s">
        <v>9</v>
      </c>
      <c r="C86" s="7" t="s">
        <v>10</v>
      </c>
      <c r="D86" s="7" t="s">
        <v>22</v>
      </c>
      <c r="E86" s="7" t="s">
        <v>25</v>
      </c>
      <c r="F86" s="7" t="s">
        <v>12</v>
      </c>
      <c r="G86" s="7">
        <v>10</v>
      </c>
      <c r="H86" s="7">
        <v>0</v>
      </c>
      <c r="I86" s="7">
        <v>10</v>
      </c>
      <c r="J86" s="8">
        <v>0.6</v>
      </c>
      <c r="K86" s="9">
        <v>11.1</v>
      </c>
      <c r="L86" s="8">
        <f>IFERROR(VLOOKUP(B86, Lists!C:G, 5, FALSE), 0)</f>
        <v>1</v>
      </c>
    </row>
    <row r="87" spans="1:12">
      <c r="A87" s="6">
        <v>45536</v>
      </c>
      <c r="B87" s="7" t="s">
        <v>9</v>
      </c>
      <c r="C87" s="7" t="s">
        <v>10</v>
      </c>
      <c r="D87" s="7" t="s">
        <v>22</v>
      </c>
      <c r="E87" s="7" t="s">
        <v>25</v>
      </c>
      <c r="F87" s="7" t="s">
        <v>12</v>
      </c>
      <c r="G87" s="7">
        <v>1</v>
      </c>
      <c r="H87" s="7">
        <v>0</v>
      </c>
      <c r="I87" s="7">
        <v>1</v>
      </c>
      <c r="J87" s="8">
        <v>0.6</v>
      </c>
      <c r="K87" s="9">
        <v>1.1100000000000001</v>
      </c>
      <c r="L87" s="8">
        <f>IFERROR(VLOOKUP(B87, Lists!C:G, 5, FALSE), 0)</f>
        <v>1</v>
      </c>
    </row>
    <row r="88" spans="1:12">
      <c r="A88" s="6">
        <v>45536</v>
      </c>
      <c r="B88" s="7" t="s">
        <v>35</v>
      </c>
      <c r="C88" s="7" t="s">
        <v>36</v>
      </c>
      <c r="D88" s="7" t="s">
        <v>29</v>
      </c>
      <c r="E88" s="7" t="s">
        <v>26</v>
      </c>
      <c r="F88" s="7" t="s">
        <v>12</v>
      </c>
      <c r="G88" s="7">
        <v>136</v>
      </c>
      <c r="H88" s="7">
        <v>0</v>
      </c>
      <c r="I88" s="7">
        <v>0</v>
      </c>
      <c r="J88" s="8">
        <v>0</v>
      </c>
      <c r="K88" s="9">
        <v>0.597584</v>
      </c>
      <c r="L88" s="8">
        <f>IFERROR(VLOOKUP(B88, Lists!C:G, 5, FALSE), 0)</f>
        <v>0</v>
      </c>
    </row>
    <row r="89" spans="1:12">
      <c r="A89" s="6">
        <v>45536</v>
      </c>
      <c r="B89" s="7" t="s">
        <v>9</v>
      </c>
      <c r="C89" s="7" t="s">
        <v>10</v>
      </c>
      <c r="D89" s="7" t="s">
        <v>29</v>
      </c>
      <c r="E89" s="7" t="s">
        <v>26</v>
      </c>
      <c r="F89" s="7" t="s">
        <v>12</v>
      </c>
      <c r="G89" s="7">
        <v>951</v>
      </c>
      <c r="H89" s="7">
        <v>0</v>
      </c>
      <c r="I89" s="7">
        <v>0</v>
      </c>
      <c r="J89" s="8">
        <v>0</v>
      </c>
      <c r="K89" s="9">
        <v>4.1786940000000001</v>
      </c>
      <c r="L89" s="8">
        <f>IFERROR(VLOOKUP(B89, Lists!C:G, 5, FALSE), 0)</f>
        <v>1</v>
      </c>
    </row>
    <row r="90" spans="1:12">
      <c r="A90" s="6">
        <v>45536</v>
      </c>
      <c r="B90" s="7" t="s">
        <v>9</v>
      </c>
      <c r="C90" s="7" t="s">
        <v>10</v>
      </c>
      <c r="D90" s="7" t="s">
        <v>22</v>
      </c>
      <c r="E90" s="7" t="s">
        <v>25</v>
      </c>
      <c r="F90" s="7" t="s">
        <v>99</v>
      </c>
      <c r="G90" s="7">
        <v>1</v>
      </c>
      <c r="H90" s="7">
        <v>0</v>
      </c>
      <c r="I90" s="7">
        <v>1</v>
      </c>
      <c r="J90" s="8">
        <v>1</v>
      </c>
      <c r="K90" s="9">
        <v>9.48</v>
      </c>
      <c r="L90" s="8">
        <f>IFERROR(VLOOKUP(B90, Lists!C:G, 5, FALSE), 0)</f>
        <v>1</v>
      </c>
    </row>
    <row r="91" spans="1:12">
      <c r="A91" s="6">
        <v>45566</v>
      </c>
      <c r="B91" s="7" t="s">
        <v>9</v>
      </c>
      <c r="C91" s="7" t="s">
        <v>10</v>
      </c>
      <c r="D91" s="7" t="s">
        <v>29</v>
      </c>
      <c r="E91" s="7" t="s">
        <v>25</v>
      </c>
      <c r="F91" s="7" t="s">
        <v>12</v>
      </c>
      <c r="G91" s="7">
        <v>1</v>
      </c>
      <c r="H91" s="7">
        <v>0</v>
      </c>
      <c r="I91" s="7">
        <v>1</v>
      </c>
      <c r="J91" s="8">
        <v>0.35</v>
      </c>
      <c r="K91" s="9">
        <v>0.35</v>
      </c>
      <c r="L91" s="8">
        <f>IFERROR(VLOOKUP(B91, Lists!C:G, 5, FALSE), 0)</f>
        <v>1</v>
      </c>
    </row>
    <row r="92" spans="1:12">
      <c r="A92" s="6">
        <v>45566</v>
      </c>
      <c r="B92" s="7" t="s">
        <v>9</v>
      </c>
      <c r="C92" s="7" t="s">
        <v>10</v>
      </c>
      <c r="D92" s="7" t="s">
        <v>29</v>
      </c>
      <c r="E92" s="7" t="s">
        <v>26</v>
      </c>
      <c r="F92" s="7" t="s">
        <v>28</v>
      </c>
      <c r="G92" s="7">
        <v>516</v>
      </c>
      <c r="H92" s="7">
        <v>0</v>
      </c>
      <c r="I92" s="7">
        <v>0</v>
      </c>
      <c r="J92" s="8">
        <v>0</v>
      </c>
      <c r="K92" s="9">
        <v>2.2673040000000002</v>
      </c>
      <c r="L92" s="8">
        <f>IFERROR(VLOOKUP(B92, Lists!C:G, 5, FALSE), 0)</f>
        <v>1</v>
      </c>
    </row>
    <row r="93" spans="1:12">
      <c r="A93" s="6">
        <v>45566</v>
      </c>
      <c r="B93" s="7" t="s">
        <v>9</v>
      </c>
      <c r="C93" s="7" t="s">
        <v>10</v>
      </c>
      <c r="D93" s="7" t="s">
        <v>29</v>
      </c>
      <c r="E93" s="7" t="s">
        <v>26</v>
      </c>
      <c r="F93" s="7" t="s">
        <v>12</v>
      </c>
      <c r="G93" s="7">
        <v>1614</v>
      </c>
      <c r="H93" s="7">
        <v>0</v>
      </c>
      <c r="I93" s="7">
        <v>0</v>
      </c>
      <c r="J93" s="8">
        <v>0</v>
      </c>
      <c r="K93" s="9">
        <v>7.0919160000000003</v>
      </c>
      <c r="L93" s="8">
        <f>IFERROR(VLOOKUP(B93, Lists!C:G, 5, FALSE), 0)</f>
        <v>1</v>
      </c>
    </row>
    <row r="94" spans="1:12">
      <c r="A94" s="6">
        <v>45566</v>
      </c>
      <c r="B94" s="7" t="s">
        <v>9</v>
      </c>
      <c r="C94" s="7" t="s">
        <v>10</v>
      </c>
      <c r="D94" s="7" t="s">
        <v>22</v>
      </c>
      <c r="E94" s="7" t="s">
        <v>25</v>
      </c>
      <c r="F94" s="7" t="s">
        <v>99</v>
      </c>
      <c r="G94" s="7">
        <v>1</v>
      </c>
      <c r="H94" s="7">
        <v>0</v>
      </c>
      <c r="I94" s="7">
        <v>1</v>
      </c>
      <c r="J94" s="8">
        <v>1</v>
      </c>
      <c r="K94" s="9">
        <v>15</v>
      </c>
      <c r="L94" s="8">
        <f>IFERROR(VLOOKUP(B94, Lists!C:G, 5, FALSE), 0)</f>
        <v>1</v>
      </c>
    </row>
    <row r="95" spans="1:12">
      <c r="A95" s="6">
        <v>45566</v>
      </c>
      <c r="B95" s="7" t="s">
        <v>35</v>
      </c>
      <c r="C95" s="7" t="s">
        <v>36</v>
      </c>
      <c r="D95" s="7" t="s">
        <v>22</v>
      </c>
      <c r="E95" s="7" t="s">
        <v>25</v>
      </c>
      <c r="F95" s="7" t="s">
        <v>99</v>
      </c>
      <c r="G95" s="7">
        <v>1</v>
      </c>
      <c r="H95" s="7">
        <v>0</v>
      </c>
      <c r="I95" s="7">
        <v>1</v>
      </c>
      <c r="J95" s="8">
        <v>1</v>
      </c>
      <c r="K95" s="9">
        <v>15</v>
      </c>
      <c r="L95" s="8">
        <f>IFERROR(VLOOKUP(B95, Lists!C:G, 5, FALSE), 0)</f>
        <v>0</v>
      </c>
    </row>
    <row r="96" spans="1:12">
      <c r="A96" s="6">
        <v>45566</v>
      </c>
      <c r="B96" s="7" t="s">
        <v>9</v>
      </c>
      <c r="C96" s="7" t="s">
        <v>10</v>
      </c>
      <c r="D96" s="7" t="s">
        <v>22</v>
      </c>
      <c r="E96" s="7" t="s">
        <v>25</v>
      </c>
      <c r="F96" s="7" t="s">
        <v>99</v>
      </c>
      <c r="G96" s="7">
        <v>1</v>
      </c>
      <c r="H96" s="7">
        <v>0</v>
      </c>
      <c r="I96" s="7">
        <v>1</v>
      </c>
      <c r="J96" s="8">
        <v>1</v>
      </c>
      <c r="K96" s="9">
        <v>9.99</v>
      </c>
      <c r="L96" s="8">
        <f>IFERROR(VLOOKUP(B96, Lists!C:G, 5, FALSE), 0)</f>
        <v>1</v>
      </c>
    </row>
    <row r="97" spans="1:12">
      <c r="A97" s="6">
        <v>45572</v>
      </c>
      <c r="B97" s="7" t="s">
        <v>100</v>
      </c>
      <c r="C97" s="7" t="s">
        <v>36</v>
      </c>
      <c r="D97" s="7" t="s">
        <v>100</v>
      </c>
      <c r="E97" s="7" t="s">
        <v>98</v>
      </c>
      <c r="F97" s="7" t="s">
        <v>100</v>
      </c>
      <c r="J97" s="8"/>
      <c r="K97" s="9">
        <v>-31</v>
      </c>
      <c r="L97" s="8">
        <f>IFERROR(VLOOKUP(B97, Lists!C:G, 5, FALSE), 0)</f>
        <v>0</v>
      </c>
    </row>
    <row r="98" spans="1:12">
      <c r="A98" s="6">
        <v>45597</v>
      </c>
      <c r="B98" s="7" t="s">
        <v>9</v>
      </c>
      <c r="C98" s="7" t="s">
        <v>10</v>
      </c>
      <c r="D98" s="7" t="s">
        <v>29</v>
      </c>
      <c r="E98" s="7" t="s">
        <v>25</v>
      </c>
      <c r="F98" s="7" t="s">
        <v>12</v>
      </c>
      <c r="G98" s="7">
        <v>2</v>
      </c>
      <c r="H98" s="7">
        <v>0</v>
      </c>
      <c r="I98" s="7">
        <v>2</v>
      </c>
      <c r="J98" s="8">
        <v>0.35</v>
      </c>
      <c r="K98" s="9">
        <v>0.7</v>
      </c>
      <c r="L98" s="8">
        <f>IFERROR(VLOOKUP(B98, Lists!C:G, 5, FALSE), 0)</f>
        <v>1</v>
      </c>
    </row>
    <row r="99" spans="1:12">
      <c r="A99" s="6">
        <v>45597</v>
      </c>
      <c r="B99" s="7" t="s">
        <v>9</v>
      </c>
      <c r="C99" s="7" t="s">
        <v>10</v>
      </c>
      <c r="D99" s="7" t="s">
        <v>29</v>
      </c>
      <c r="E99" s="7" t="s">
        <v>26</v>
      </c>
      <c r="F99" s="7" t="s">
        <v>12</v>
      </c>
      <c r="G99" s="7">
        <v>20</v>
      </c>
      <c r="H99" s="7">
        <v>0</v>
      </c>
      <c r="I99" s="7">
        <v>0</v>
      </c>
      <c r="J99" s="8">
        <v>0</v>
      </c>
      <c r="K99" s="9">
        <v>8.7880000000000014E-2</v>
      </c>
      <c r="L99" s="8">
        <f>IFERROR(VLOOKUP(B99, Lists!C:G, 5, FALSE), 0)</f>
        <v>1</v>
      </c>
    </row>
    <row r="100" spans="1:12">
      <c r="A100" s="6">
        <v>45597</v>
      </c>
      <c r="B100" s="7" t="s">
        <v>9</v>
      </c>
      <c r="C100" s="7" t="s">
        <v>10</v>
      </c>
      <c r="D100" s="7" t="s">
        <v>22</v>
      </c>
      <c r="E100" s="7" t="s">
        <v>25</v>
      </c>
      <c r="F100" s="7" t="s">
        <v>99</v>
      </c>
      <c r="G100" s="7">
        <v>1</v>
      </c>
      <c r="H100" s="7">
        <v>0</v>
      </c>
      <c r="I100" s="7">
        <v>1</v>
      </c>
      <c r="J100" s="8">
        <v>1</v>
      </c>
      <c r="K100" s="9">
        <v>15</v>
      </c>
      <c r="L100" s="8">
        <f>IFERROR(VLOOKUP(B100, Lists!C:G, 5, FALSE), 0)</f>
        <v>1</v>
      </c>
    </row>
    <row r="101" spans="1:12">
      <c r="A101" s="6">
        <v>45597</v>
      </c>
      <c r="B101" s="7" t="s">
        <v>9</v>
      </c>
      <c r="C101" s="7" t="s">
        <v>10</v>
      </c>
      <c r="D101" s="7" t="s">
        <v>22</v>
      </c>
      <c r="E101" s="7" t="s">
        <v>25</v>
      </c>
      <c r="F101" s="7" t="s">
        <v>99</v>
      </c>
      <c r="G101" s="7">
        <v>1</v>
      </c>
      <c r="H101" s="7">
        <v>0</v>
      </c>
      <c r="I101" s="7">
        <v>1</v>
      </c>
      <c r="J101" s="8">
        <v>1</v>
      </c>
      <c r="K101" s="9">
        <v>15</v>
      </c>
      <c r="L101" s="8">
        <f>IFERROR(VLOOKUP(B101, Lists!C:G, 5, FALSE), 0)</f>
        <v>1</v>
      </c>
    </row>
    <row r="102" spans="1:12">
      <c r="A102" s="6">
        <v>45597</v>
      </c>
      <c r="B102" s="7" t="s">
        <v>9</v>
      </c>
      <c r="C102" s="7" t="s">
        <v>10</v>
      </c>
      <c r="D102" s="7" t="s">
        <v>22</v>
      </c>
      <c r="E102" s="7" t="s">
        <v>25</v>
      </c>
      <c r="F102" s="7" t="s">
        <v>99</v>
      </c>
      <c r="G102" s="7">
        <v>1</v>
      </c>
      <c r="H102" s="7">
        <v>0</v>
      </c>
      <c r="I102" s="7">
        <v>1</v>
      </c>
      <c r="J102" s="8">
        <v>1</v>
      </c>
      <c r="K102" s="9">
        <v>15</v>
      </c>
      <c r="L102" s="8">
        <f>IFERROR(VLOOKUP(B102, Lists!C:G, 5, FALSE), 0)</f>
        <v>1</v>
      </c>
    </row>
    <row r="103" spans="1:12">
      <c r="A103" s="6">
        <v>45597</v>
      </c>
      <c r="B103" s="7" t="s">
        <v>9</v>
      </c>
      <c r="C103" s="7" t="s">
        <v>10</v>
      </c>
      <c r="D103" s="7" t="s">
        <v>22</v>
      </c>
      <c r="E103" s="7" t="s">
        <v>25</v>
      </c>
      <c r="F103" s="7" t="s">
        <v>99</v>
      </c>
      <c r="G103" s="7">
        <v>1</v>
      </c>
      <c r="H103" s="7">
        <v>0</v>
      </c>
      <c r="I103" s="7">
        <v>1</v>
      </c>
      <c r="J103" s="8">
        <v>1</v>
      </c>
      <c r="K103" s="9">
        <v>15</v>
      </c>
      <c r="L103" s="8">
        <f>IFERROR(VLOOKUP(B103, Lists!C:G, 5, FALSE), 0)</f>
        <v>1</v>
      </c>
    </row>
    <row r="104" spans="1:12">
      <c r="A104" s="6">
        <v>45597</v>
      </c>
      <c r="B104" s="7" t="s">
        <v>9</v>
      </c>
      <c r="C104" s="7" t="s">
        <v>10</v>
      </c>
      <c r="D104" s="7" t="s">
        <v>22</v>
      </c>
      <c r="E104" s="7" t="s">
        <v>25</v>
      </c>
      <c r="F104" s="7" t="s">
        <v>99</v>
      </c>
      <c r="G104" s="7">
        <v>1</v>
      </c>
      <c r="H104" s="7">
        <v>0</v>
      </c>
      <c r="I104" s="7">
        <v>1</v>
      </c>
      <c r="J104" s="8">
        <v>1</v>
      </c>
      <c r="K104" s="9">
        <v>15</v>
      </c>
      <c r="L104" s="8">
        <f>IFERROR(VLOOKUP(B104, Lists!C:G, 5, FALSE), 0)</f>
        <v>1</v>
      </c>
    </row>
    <row r="105" spans="1:12">
      <c r="A105" s="6">
        <v>45626</v>
      </c>
      <c r="B105" s="7" t="s">
        <v>9</v>
      </c>
      <c r="C105" s="7" t="s">
        <v>10</v>
      </c>
      <c r="D105" s="7" t="s">
        <v>22</v>
      </c>
      <c r="E105" s="7" t="s">
        <v>25</v>
      </c>
      <c r="F105" s="7" t="s">
        <v>99</v>
      </c>
      <c r="G105" s="7">
        <v>1</v>
      </c>
      <c r="H105" s="7">
        <v>0</v>
      </c>
      <c r="I105" s="7">
        <v>1</v>
      </c>
      <c r="J105" s="8">
        <v>1</v>
      </c>
      <c r="K105" s="9">
        <v>15</v>
      </c>
      <c r="L105" s="8">
        <f>IFERROR(VLOOKUP(B105, Lists!C:G, 5, FALSE), 0)</f>
        <v>1</v>
      </c>
    </row>
    <row r="106" spans="1:12">
      <c r="A106" s="6">
        <v>45627</v>
      </c>
      <c r="B106" s="7" t="s">
        <v>9</v>
      </c>
      <c r="C106" s="7" t="s">
        <v>10</v>
      </c>
      <c r="D106" s="7" t="s">
        <v>29</v>
      </c>
      <c r="E106" s="7" t="s">
        <v>70</v>
      </c>
      <c r="F106" s="7" t="s">
        <v>12</v>
      </c>
      <c r="G106" s="7">
        <v>49</v>
      </c>
      <c r="H106" s="7">
        <v>0</v>
      </c>
      <c r="I106" s="7">
        <v>49</v>
      </c>
      <c r="J106" s="8">
        <v>0.35</v>
      </c>
      <c r="K106" s="9">
        <v>0</v>
      </c>
      <c r="L106" s="8">
        <f>IFERROR(VLOOKUP(B106, Lists!C:G, 5, FALSE), 0)</f>
        <v>1</v>
      </c>
    </row>
    <row r="107" spans="1:12">
      <c r="A107" s="6">
        <v>45627</v>
      </c>
      <c r="B107" s="7" t="s">
        <v>9</v>
      </c>
      <c r="C107" s="7" t="s">
        <v>10</v>
      </c>
      <c r="D107" s="7" t="s">
        <v>29</v>
      </c>
      <c r="E107" s="7" t="s">
        <v>70</v>
      </c>
      <c r="F107" s="7" t="s">
        <v>12</v>
      </c>
      <c r="G107" s="7">
        <v>1</v>
      </c>
      <c r="H107" s="7">
        <v>0</v>
      </c>
      <c r="I107" s="7">
        <v>1</v>
      </c>
      <c r="J107" s="8">
        <v>0.35</v>
      </c>
      <c r="K107" s="9">
        <v>0</v>
      </c>
      <c r="L107" s="8">
        <f>IFERROR(VLOOKUP(B107, Lists!C:G, 5, FALSE), 0)</f>
        <v>1</v>
      </c>
    </row>
    <row r="108" spans="1:12">
      <c r="A108" s="6">
        <v>45627</v>
      </c>
      <c r="B108" s="7" t="s">
        <v>9</v>
      </c>
      <c r="C108" s="7" t="s">
        <v>10</v>
      </c>
      <c r="D108" s="7" t="s">
        <v>29</v>
      </c>
      <c r="E108" s="7" t="s">
        <v>70</v>
      </c>
      <c r="F108" s="7" t="s">
        <v>12</v>
      </c>
      <c r="G108" s="7">
        <v>1</v>
      </c>
      <c r="H108" s="7">
        <v>0</v>
      </c>
      <c r="I108" s="7">
        <v>1</v>
      </c>
      <c r="J108" s="8">
        <v>0.35</v>
      </c>
      <c r="K108" s="9">
        <v>0</v>
      </c>
      <c r="L108" s="8">
        <f>IFERROR(VLOOKUP(B108, Lists!C:G, 5, FALSE), 0)</f>
        <v>1</v>
      </c>
    </row>
    <row r="109" spans="1:12">
      <c r="A109" s="6">
        <v>45627</v>
      </c>
      <c r="B109" s="7" t="s">
        <v>9</v>
      </c>
      <c r="C109" s="7" t="s">
        <v>10</v>
      </c>
      <c r="D109" s="7" t="s">
        <v>29</v>
      </c>
      <c r="E109" s="7" t="s">
        <v>25</v>
      </c>
      <c r="F109" s="7" t="s">
        <v>12</v>
      </c>
      <c r="G109" s="7">
        <v>1</v>
      </c>
      <c r="H109" s="7">
        <v>0</v>
      </c>
      <c r="I109" s="7">
        <v>1</v>
      </c>
      <c r="J109" s="8">
        <v>0.35</v>
      </c>
      <c r="K109" s="9">
        <v>0.35</v>
      </c>
      <c r="L109" s="8">
        <f>IFERROR(VLOOKUP(B109, Lists!C:G, 5, FALSE), 0)</f>
        <v>1</v>
      </c>
    </row>
    <row r="110" spans="1:12">
      <c r="A110" s="6">
        <v>45627</v>
      </c>
      <c r="B110" s="7" t="s">
        <v>9</v>
      </c>
      <c r="C110" s="7" t="s">
        <v>10</v>
      </c>
      <c r="D110" s="7" t="s">
        <v>29</v>
      </c>
      <c r="E110" s="7" t="s">
        <v>70</v>
      </c>
      <c r="F110" s="7" t="s">
        <v>28</v>
      </c>
      <c r="G110" s="7">
        <v>3</v>
      </c>
      <c r="H110" s="7">
        <v>0</v>
      </c>
      <c r="I110" s="7">
        <v>3</v>
      </c>
      <c r="J110" s="8">
        <v>0.35</v>
      </c>
      <c r="K110" s="9">
        <v>0</v>
      </c>
      <c r="L110" s="8">
        <f>IFERROR(VLOOKUP(B110, Lists!C:G, 5, FALSE), 0)</f>
        <v>1</v>
      </c>
    </row>
    <row r="111" spans="1:12">
      <c r="A111" s="6">
        <v>45627</v>
      </c>
      <c r="B111" s="7" t="s">
        <v>9</v>
      </c>
      <c r="C111" s="7" t="s">
        <v>10</v>
      </c>
      <c r="D111" s="7" t="s">
        <v>29</v>
      </c>
      <c r="E111" s="7" t="s">
        <v>25</v>
      </c>
      <c r="F111" s="7" t="s">
        <v>28</v>
      </c>
      <c r="G111" s="7">
        <v>1</v>
      </c>
      <c r="H111" s="7">
        <v>0</v>
      </c>
      <c r="I111" s="7">
        <v>1</v>
      </c>
      <c r="J111" s="8">
        <v>0.35</v>
      </c>
      <c r="K111" s="9">
        <v>0.27</v>
      </c>
      <c r="L111" s="8">
        <f>IFERROR(VLOOKUP(B111, Lists!C:G, 5, FALSE), 0)</f>
        <v>1</v>
      </c>
    </row>
    <row r="112" spans="1:12">
      <c r="A112" s="6">
        <v>45627</v>
      </c>
      <c r="B112" s="7" t="s">
        <v>9</v>
      </c>
      <c r="C112" s="7" t="s">
        <v>10</v>
      </c>
      <c r="D112" s="7" t="s">
        <v>29</v>
      </c>
      <c r="E112" s="7" t="s">
        <v>70</v>
      </c>
      <c r="F112" s="7" t="s">
        <v>56</v>
      </c>
      <c r="G112" s="7">
        <v>1</v>
      </c>
      <c r="H112" s="7">
        <v>0</v>
      </c>
      <c r="I112" s="7">
        <v>1</v>
      </c>
      <c r="J112" s="8">
        <v>0.35</v>
      </c>
      <c r="K112" s="9">
        <v>0</v>
      </c>
      <c r="L112" s="8">
        <f>IFERROR(VLOOKUP(B112, Lists!C:G, 5, FALSE), 0)</f>
        <v>1</v>
      </c>
    </row>
    <row r="113" spans="1:12">
      <c r="A113" s="6">
        <v>45627</v>
      </c>
      <c r="B113" s="7" t="s">
        <v>9</v>
      </c>
      <c r="C113" s="7" t="s">
        <v>10</v>
      </c>
      <c r="D113" s="7" t="s">
        <v>29</v>
      </c>
      <c r="E113" s="7" t="s">
        <v>70</v>
      </c>
      <c r="F113" s="7" t="s">
        <v>16</v>
      </c>
      <c r="G113" s="7">
        <v>5</v>
      </c>
      <c r="H113" s="7">
        <v>0</v>
      </c>
      <c r="I113" s="7">
        <v>5</v>
      </c>
      <c r="J113" s="8">
        <v>0.35</v>
      </c>
      <c r="K113" s="9">
        <v>0</v>
      </c>
      <c r="L113" s="8">
        <f>IFERROR(VLOOKUP(B113, Lists!C:G, 5, FALSE), 0)</f>
        <v>1</v>
      </c>
    </row>
    <row r="114" spans="1:12">
      <c r="A114" s="6">
        <v>45627</v>
      </c>
      <c r="B114" s="7" t="s">
        <v>9</v>
      </c>
      <c r="C114" s="7" t="s">
        <v>10</v>
      </c>
      <c r="D114" s="7" t="s">
        <v>29</v>
      </c>
      <c r="E114" s="7" t="s">
        <v>26</v>
      </c>
      <c r="F114" s="7" t="s">
        <v>12</v>
      </c>
      <c r="G114" s="7">
        <v>524</v>
      </c>
      <c r="H114" s="7">
        <v>0</v>
      </c>
      <c r="I114" s="7">
        <v>0</v>
      </c>
      <c r="J114" s="8">
        <v>0</v>
      </c>
      <c r="K114" s="9">
        <v>2.3024560000000003</v>
      </c>
      <c r="L114" s="8">
        <f>IFERROR(VLOOKUP(B114, Lists!C:G, 5, FALSE), 0)</f>
        <v>1</v>
      </c>
    </row>
    <row r="115" spans="1:12">
      <c r="A115" s="6">
        <v>45627</v>
      </c>
      <c r="B115" s="7" t="s">
        <v>9</v>
      </c>
      <c r="C115" s="7" t="s">
        <v>10</v>
      </c>
      <c r="D115" s="7" t="s">
        <v>29</v>
      </c>
      <c r="E115" s="7" t="s">
        <v>26</v>
      </c>
      <c r="F115" s="7" t="s">
        <v>59</v>
      </c>
      <c r="G115" s="7">
        <v>37</v>
      </c>
      <c r="H115" s="7">
        <v>0</v>
      </c>
      <c r="I115" s="7">
        <v>0</v>
      </c>
      <c r="J115" s="8">
        <v>0</v>
      </c>
      <c r="K115" s="9">
        <v>0.162578</v>
      </c>
      <c r="L115" s="8">
        <f>IFERROR(VLOOKUP(B115, Lists!C:G, 5, FALSE), 0)</f>
        <v>1</v>
      </c>
    </row>
    <row r="116" spans="1:12">
      <c r="A116" s="6">
        <v>45658</v>
      </c>
      <c r="B116" s="7" t="s">
        <v>9</v>
      </c>
      <c r="C116" s="7" t="s">
        <v>10</v>
      </c>
      <c r="D116" s="7" t="s">
        <v>29</v>
      </c>
      <c r="E116" s="7" t="s">
        <v>26</v>
      </c>
      <c r="F116" s="7" t="s">
        <v>12</v>
      </c>
      <c r="G116" s="7">
        <v>1</v>
      </c>
      <c r="H116" s="7">
        <v>0</v>
      </c>
      <c r="I116" s="7">
        <v>0</v>
      </c>
      <c r="J116" s="8">
        <v>0</v>
      </c>
      <c r="K116" s="9">
        <v>4.3940000000000003E-3</v>
      </c>
      <c r="L116" s="8">
        <f>IFERROR(VLOOKUP(B116, Lists!C:G, 5, FALSE), 0)</f>
        <v>1</v>
      </c>
    </row>
    <row r="117" spans="1:12">
      <c r="A117" s="6">
        <v>45689</v>
      </c>
      <c r="B117" s="7" t="s">
        <v>55</v>
      </c>
      <c r="C117" s="7" t="s">
        <v>36</v>
      </c>
      <c r="D117" s="7" t="s">
        <v>22</v>
      </c>
      <c r="E117" s="7" t="s">
        <v>25</v>
      </c>
      <c r="F117" s="7" t="s">
        <v>28</v>
      </c>
      <c r="G117" s="7">
        <v>1</v>
      </c>
      <c r="H117" s="7">
        <v>0</v>
      </c>
      <c r="I117" s="7">
        <v>1</v>
      </c>
      <c r="J117" s="8">
        <v>0.6</v>
      </c>
      <c r="K117" s="9">
        <v>2.33</v>
      </c>
      <c r="L117" s="8">
        <f>IFERROR(VLOOKUP(B117, Lists!C:G, 5, FALSE), 0)</f>
        <v>0</v>
      </c>
    </row>
    <row r="118" spans="1:12">
      <c r="A118" s="6">
        <v>45689</v>
      </c>
      <c r="B118" s="7" t="s">
        <v>43</v>
      </c>
      <c r="C118" s="7" t="s">
        <v>36</v>
      </c>
      <c r="D118" s="7" t="s">
        <v>22</v>
      </c>
      <c r="E118" s="7" t="s">
        <v>25</v>
      </c>
      <c r="F118" s="7" t="s">
        <v>28</v>
      </c>
      <c r="G118" s="7">
        <v>1</v>
      </c>
      <c r="H118" s="7">
        <v>0</v>
      </c>
      <c r="I118" s="7">
        <v>1</v>
      </c>
      <c r="J118" s="8">
        <v>0.6</v>
      </c>
      <c r="K118" s="9">
        <v>3.39</v>
      </c>
      <c r="L118" s="8">
        <f>IFERROR(VLOOKUP(B118, Lists!C:G, 5, FALSE), 0)</f>
        <v>0</v>
      </c>
    </row>
    <row r="119" spans="1:12">
      <c r="A119" s="6">
        <v>45689</v>
      </c>
      <c r="B119" s="7" t="s">
        <v>35</v>
      </c>
      <c r="C119" s="7" t="s">
        <v>36</v>
      </c>
      <c r="D119" s="7" t="s">
        <v>22</v>
      </c>
      <c r="E119" s="7" t="s">
        <v>25</v>
      </c>
      <c r="F119" s="7" t="s">
        <v>28</v>
      </c>
      <c r="G119" s="7">
        <v>1</v>
      </c>
      <c r="H119" s="7">
        <v>0</v>
      </c>
      <c r="I119" s="7">
        <v>1</v>
      </c>
      <c r="J119" s="8">
        <v>0.6</v>
      </c>
      <c r="K119" s="9">
        <v>4.1100000000000003</v>
      </c>
      <c r="L119" s="8">
        <f>IFERROR(VLOOKUP(B119, Lists!C:G, 5, FALSE), 0)</f>
        <v>0</v>
      </c>
    </row>
    <row r="120" spans="1:12">
      <c r="A120" s="6">
        <v>45689</v>
      </c>
      <c r="B120" s="7" t="s">
        <v>9</v>
      </c>
      <c r="C120" s="7" t="s">
        <v>10</v>
      </c>
      <c r="D120" s="7" t="s">
        <v>22</v>
      </c>
      <c r="E120" s="7" t="s">
        <v>25</v>
      </c>
      <c r="F120" s="7" t="s">
        <v>12</v>
      </c>
      <c r="G120" s="7">
        <v>1</v>
      </c>
      <c r="H120" s="7">
        <v>0</v>
      </c>
      <c r="I120" s="7">
        <v>1</v>
      </c>
      <c r="J120" s="8">
        <v>0.6</v>
      </c>
      <c r="K120" s="9">
        <v>1.55</v>
      </c>
      <c r="L120" s="8">
        <f>IFERROR(VLOOKUP(B120, Lists!C:G, 5, FALSE), 0)</f>
        <v>1</v>
      </c>
    </row>
    <row r="121" spans="1:12">
      <c r="A121" s="6">
        <v>45689</v>
      </c>
      <c r="B121" s="7" t="s">
        <v>9</v>
      </c>
      <c r="C121" s="7" t="s">
        <v>10</v>
      </c>
      <c r="D121" s="7" t="s">
        <v>22</v>
      </c>
      <c r="E121" s="7" t="s">
        <v>25</v>
      </c>
      <c r="F121" s="7" t="s">
        <v>12</v>
      </c>
      <c r="G121" s="7">
        <v>1</v>
      </c>
      <c r="H121" s="7">
        <v>0</v>
      </c>
      <c r="I121" s="7">
        <v>1</v>
      </c>
      <c r="J121" s="8">
        <v>0.6</v>
      </c>
      <c r="K121" s="9">
        <v>1.55</v>
      </c>
      <c r="L121" s="8">
        <f>IFERROR(VLOOKUP(B121, Lists!C:G, 5, FALSE), 0)</f>
        <v>1</v>
      </c>
    </row>
    <row r="122" spans="1:12">
      <c r="A122" s="6">
        <v>45689</v>
      </c>
      <c r="B122" s="7" t="s">
        <v>9</v>
      </c>
      <c r="C122" s="7" t="s">
        <v>10</v>
      </c>
      <c r="D122" s="7" t="s">
        <v>29</v>
      </c>
      <c r="E122" s="7" t="s">
        <v>26</v>
      </c>
      <c r="F122" s="7" t="s">
        <v>12</v>
      </c>
      <c r="G122" s="7">
        <v>2</v>
      </c>
      <c r="H122" s="7">
        <v>0</v>
      </c>
      <c r="I122" s="7">
        <v>0</v>
      </c>
      <c r="J122" s="8">
        <v>0</v>
      </c>
      <c r="K122" s="9">
        <v>8.7880000000000007E-3</v>
      </c>
      <c r="L122" s="8">
        <f>IFERROR(VLOOKUP(B122, Lists!C:G, 5, FALSE), 0)</f>
        <v>1</v>
      </c>
    </row>
    <row r="123" spans="1:12">
      <c r="A123" s="6">
        <v>45717</v>
      </c>
      <c r="B123" s="7" t="s">
        <v>9</v>
      </c>
      <c r="C123" s="7" t="s">
        <v>10</v>
      </c>
      <c r="D123" s="7" t="s">
        <v>29</v>
      </c>
      <c r="E123" s="7" t="s">
        <v>70</v>
      </c>
      <c r="F123" s="7" t="s">
        <v>28</v>
      </c>
      <c r="G123" s="7">
        <v>1</v>
      </c>
      <c r="H123" s="7">
        <v>0</v>
      </c>
      <c r="I123" s="7">
        <v>1</v>
      </c>
      <c r="J123" s="8">
        <v>0.7</v>
      </c>
      <c r="K123" s="9">
        <v>0</v>
      </c>
      <c r="L123" s="8">
        <f>IFERROR(VLOOKUP(B123, Lists!C:G, 5, FALSE), 0)</f>
        <v>1</v>
      </c>
    </row>
    <row r="124" spans="1:12">
      <c r="A124" s="6">
        <v>45717</v>
      </c>
      <c r="B124" s="7" t="s">
        <v>9</v>
      </c>
      <c r="C124" s="7" t="s">
        <v>10</v>
      </c>
      <c r="D124" s="7" t="s">
        <v>22</v>
      </c>
      <c r="E124" s="7" t="s">
        <v>25</v>
      </c>
      <c r="F124" s="7" t="s">
        <v>12</v>
      </c>
      <c r="G124" s="7">
        <v>1</v>
      </c>
      <c r="H124" s="7">
        <v>0</v>
      </c>
      <c r="I124" s="7">
        <v>1</v>
      </c>
      <c r="J124" s="8">
        <v>0.6</v>
      </c>
      <c r="K124" s="9">
        <v>1.1100000000000001</v>
      </c>
      <c r="L124" s="8">
        <f>IFERROR(VLOOKUP(B124, Lists!C:G, 5, FALSE), 0)</f>
        <v>1</v>
      </c>
    </row>
    <row r="125" spans="1:12">
      <c r="A125" s="6">
        <v>45717</v>
      </c>
      <c r="B125" s="7" t="s">
        <v>9</v>
      </c>
      <c r="C125" s="7" t="s">
        <v>10</v>
      </c>
      <c r="D125" s="7" t="s">
        <v>22</v>
      </c>
      <c r="E125" s="7" t="s">
        <v>25</v>
      </c>
      <c r="F125" s="7" t="s">
        <v>12</v>
      </c>
      <c r="G125" s="7">
        <v>1</v>
      </c>
      <c r="H125" s="7">
        <v>0</v>
      </c>
      <c r="I125" s="7">
        <v>1</v>
      </c>
      <c r="J125" s="8">
        <v>0.6</v>
      </c>
      <c r="K125" s="9">
        <v>1.1100000000000001</v>
      </c>
      <c r="L125" s="8">
        <f>IFERROR(VLOOKUP(B125, Lists!C:G, 5, FALSE), 0)</f>
        <v>1</v>
      </c>
    </row>
    <row r="126" spans="1:12">
      <c r="A126" s="6">
        <v>45717</v>
      </c>
      <c r="B126" s="7" t="s">
        <v>9</v>
      </c>
      <c r="C126" s="7" t="s">
        <v>10</v>
      </c>
      <c r="D126" s="7" t="s">
        <v>22</v>
      </c>
      <c r="E126" s="7" t="s">
        <v>25</v>
      </c>
      <c r="F126" s="7" t="s">
        <v>99</v>
      </c>
      <c r="G126" s="7">
        <v>1</v>
      </c>
      <c r="H126" s="7">
        <v>0</v>
      </c>
      <c r="I126" s="7">
        <v>1</v>
      </c>
      <c r="J126" s="8">
        <v>1</v>
      </c>
      <c r="K126" s="9">
        <v>15</v>
      </c>
      <c r="L126" s="8">
        <f>IFERROR(VLOOKUP(B126, Lists!C:G, 5, FALSE), 0)</f>
        <v>1</v>
      </c>
    </row>
    <row r="127" spans="1:12">
      <c r="A127" s="6">
        <v>45717</v>
      </c>
      <c r="B127" s="7" t="s">
        <v>9</v>
      </c>
      <c r="C127" s="7" t="s">
        <v>10</v>
      </c>
      <c r="D127" s="7" t="s">
        <v>22</v>
      </c>
      <c r="E127" s="7" t="s">
        <v>25</v>
      </c>
      <c r="F127" s="7" t="s">
        <v>99</v>
      </c>
      <c r="G127" s="7">
        <v>1</v>
      </c>
      <c r="H127" s="7">
        <v>0</v>
      </c>
      <c r="I127" s="7">
        <v>1</v>
      </c>
      <c r="J127" s="8">
        <v>1</v>
      </c>
      <c r="K127" s="9">
        <v>15</v>
      </c>
      <c r="L127" s="8">
        <f>IFERROR(VLOOKUP(B127, Lists!C:G, 5, FALSE), 0)</f>
        <v>1</v>
      </c>
    </row>
    <row r="128" spans="1:12">
      <c r="A128" s="6">
        <v>45717</v>
      </c>
      <c r="B128" s="7" t="s">
        <v>9</v>
      </c>
      <c r="C128" s="7" t="s">
        <v>10</v>
      </c>
      <c r="D128" s="7" t="s">
        <v>22</v>
      </c>
      <c r="E128" s="7" t="s">
        <v>25</v>
      </c>
      <c r="F128" s="7" t="s">
        <v>99</v>
      </c>
      <c r="G128" s="7">
        <v>1</v>
      </c>
      <c r="H128" s="7">
        <v>0</v>
      </c>
      <c r="I128" s="7">
        <v>1</v>
      </c>
      <c r="J128" s="8">
        <v>1</v>
      </c>
      <c r="K128" s="9">
        <v>15</v>
      </c>
      <c r="L128" s="8">
        <f>IFERROR(VLOOKUP(B128, Lists!C:G, 5, FALSE), 0)</f>
        <v>1</v>
      </c>
    </row>
    <row r="129" spans="1:12">
      <c r="A129" s="6">
        <v>45717</v>
      </c>
      <c r="B129" s="7" t="s">
        <v>9</v>
      </c>
      <c r="C129" s="7" t="s">
        <v>10</v>
      </c>
      <c r="D129" s="7" t="s">
        <v>29</v>
      </c>
      <c r="E129" s="7" t="s">
        <v>70</v>
      </c>
      <c r="F129" s="7" t="s">
        <v>12</v>
      </c>
      <c r="G129" s="7">
        <v>2</v>
      </c>
      <c r="H129" s="7">
        <v>0</v>
      </c>
      <c r="I129" s="7">
        <v>2</v>
      </c>
      <c r="J129" s="8">
        <v>0.35</v>
      </c>
      <c r="K129" s="9">
        <v>0</v>
      </c>
      <c r="L129" s="8">
        <f>IFERROR(VLOOKUP(B129, Lists!C:G, 5, FALSE), 0)</f>
        <v>1</v>
      </c>
    </row>
    <row r="130" spans="1:12">
      <c r="A130" s="6">
        <v>45717</v>
      </c>
      <c r="B130" s="7" t="s">
        <v>9</v>
      </c>
      <c r="C130" s="7" t="s">
        <v>10</v>
      </c>
      <c r="D130" s="7" t="s">
        <v>29</v>
      </c>
      <c r="E130" s="7" t="s">
        <v>25</v>
      </c>
      <c r="F130" s="7" t="s">
        <v>12</v>
      </c>
      <c r="G130" s="7">
        <v>2</v>
      </c>
      <c r="H130" s="7">
        <v>0</v>
      </c>
      <c r="I130" s="7">
        <v>2</v>
      </c>
      <c r="J130" s="8">
        <v>0.35</v>
      </c>
      <c r="K130" s="9">
        <v>0.7</v>
      </c>
      <c r="L130" s="8">
        <f>IFERROR(VLOOKUP(B130, Lists!C:G, 5, FALSE), 0)</f>
        <v>1</v>
      </c>
    </row>
    <row r="131" spans="1:12">
      <c r="A131" s="6">
        <v>45717</v>
      </c>
      <c r="B131" s="7" t="s">
        <v>9</v>
      </c>
      <c r="C131" s="7" t="s">
        <v>10</v>
      </c>
      <c r="D131" s="7" t="s">
        <v>29</v>
      </c>
      <c r="E131" s="7" t="s">
        <v>70</v>
      </c>
      <c r="F131" s="7" t="s">
        <v>12</v>
      </c>
      <c r="G131" s="7">
        <v>9</v>
      </c>
      <c r="H131" s="7">
        <v>0</v>
      </c>
      <c r="I131" s="7">
        <v>9</v>
      </c>
      <c r="J131" s="8">
        <v>0.7</v>
      </c>
      <c r="K131" s="9">
        <v>0</v>
      </c>
      <c r="L131" s="8">
        <f>IFERROR(VLOOKUP(B131, Lists!C:G, 5, FALSE), 0)</f>
        <v>1</v>
      </c>
    </row>
    <row r="132" spans="1:12">
      <c r="A132" s="6">
        <v>45717</v>
      </c>
      <c r="B132" s="7" t="s">
        <v>9</v>
      </c>
      <c r="C132" s="7" t="s">
        <v>10</v>
      </c>
      <c r="D132" s="7" t="s">
        <v>29</v>
      </c>
      <c r="E132" s="7" t="s">
        <v>70</v>
      </c>
      <c r="F132" s="7" t="s">
        <v>16</v>
      </c>
      <c r="G132" s="7">
        <v>471</v>
      </c>
      <c r="H132" s="7">
        <v>0</v>
      </c>
      <c r="I132" s="7">
        <v>0</v>
      </c>
      <c r="J132" s="8">
        <v>0</v>
      </c>
      <c r="K132" s="9">
        <v>0</v>
      </c>
      <c r="L132" s="8">
        <f>IFERROR(VLOOKUP(B132, Lists!C:G, 5, FALSE), 0)</f>
        <v>1</v>
      </c>
    </row>
    <row r="133" spans="1:12">
      <c r="A133" s="6">
        <v>45717</v>
      </c>
      <c r="B133" s="7" t="s">
        <v>9</v>
      </c>
      <c r="C133" s="7" t="s">
        <v>10</v>
      </c>
      <c r="D133" s="7" t="s">
        <v>29</v>
      </c>
      <c r="E133" s="7" t="s">
        <v>70</v>
      </c>
      <c r="F133" s="7" t="s">
        <v>12</v>
      </c>
      <c r="G133" s="7">
        <v>514</v>
      </c>
      <c r="H133" s="7">
        <v>0</v>
      </c>
      <c r="I133" s="7">
        <v>0</v>
      </c>
      <c r="J133" s="8">
        <v>0</v>
      </c>
      <c r="K133" s="9">
        <v>0</v>
      </c>
      <c r="L133" s="8">
        <f>IFERROR(VLOOKUP(B133, Lists!C:G, 5, FALSE), 0)</f>
        <v>1</v>
      </c>
    </row>
    <row r="134" spans="1:12">
      <c r="A134" s="6">
        <v>45731</v>
      </c>
      <c r="B134" s="7" t="s">
        <v>9</v>
      </c>
      <c r="C134" s="7" t="s">
        <v>10</v>
      </c>
      <c r="D134" s="7" t="s">
        <v>22</v>
      </c>
      <c r="E134" s="7" t="s">
        <v>25</v>
      </c>
      <c r="F134" s="7" t="s">
        <v>99</v>
      </c>
      <c r="G134" s="7">
        <v>1</v>
      </c>
      <c r="H134" s="7">
        <v>0</v>
      </c>
      <c r="I134" s="7">
        <v>1</v>
      </c>
      <c r="J134" s="8">
        <v>1</v>
      </c>
      <c r="K134" s="9">
        <v>15</v>
      </c>
      <c r="L134" s="8">
        <f>IFERROR(VLOOKUP(B134, Lists!C:G, 5, FALSE), 0)</f>
        <v>1</v>
      </c>
    </row>
    <row r="135" spans="1:12">
      <c r="A135" s="6">
        <v>45731</v>
      </c>
      <c r="B135" s="7" t="s">
        <v>9</v>
      </c>
      <c r="C135" s="7" t="s">
        <v>10</v>
      </c>
      <c r="D135" s="7" t="s">
        <v>22</v>
      </c>
      <c r="E135" s="7" t="s">
        <v>25</v>
      </c>
      <c r="F135" s="7" t="s">
        <v>99</v>
      </c>
      <c r="G135" s="7">
        <v>1</v>
      </c>
      <c r="H135" s="7">
        <v>0</v>
      </c>
      <c r="I135" s="7">
        <v>1</v>
      </c>
      <c r="J135" s="8">
        <v>1</v>
      </c>
      <c r="K135" s="9">
        <v>15</v>
      </c>
      <c r="L135" s="8">
        <f>IFERROR(VLOOKUP(B135, Lists!C:G, 5, FALSE), 0)</f>
        <v>1</v>
      </c>
    </row>
    <row r="136" spans="1:12">
      <c r="A136" s="6">
        <v>45731</v>
      </c>
      <c r="B136" s="7" t="s">
        <v>9</v>
      </c>
      <c r="C136" s="7" t="s">
        <v>10</v>
      </c>
      <c r="D136" s="7" t="s">
        <v>22</v>
      </c>
      <c r="E136" s="7" t="s">
        <v>25</v>
      </c>
      <c r="F136" s="7" t="s">
        <v>99</v>
      </c>
      <c r="G136" s="7">
        <v>1</v>
      </c>
      <c r="H136" s="7">
        <v>0</v>
      </c>
      <c r="I136" s="7">
        <v>1</v>
      </c>
      <c r="J136" s="8">
        <v>1</v>
      </c>
      <c r="K136" s="9">
        <v>15</v>
      </c>
      <c r="L136" s="8">
        <f>IFERROR(VLOOKUP(B136, Lists!C:G, 5, FALSE), 0)</f>
        <v>1</v>
      </c>
    </row>
    <row r="137" spans="1:12">
      <c r="A137" s="6">
        <v>45731</v>
      </c>
      <c r="B137" s="7" t="s">
        <v>9</v>
      </c>
      <c r="C137" s="7" t="s">
        <v>10</v>
      </c>
      <c r="D137" s="7" t="s">
        <v>22</v>
      </c>
      <c r="E137" s="7" t="s">
        <v>25</v>
      </c>
      <c r="F137" s="7" t="s">
        <v>99</v>
      </c>
      <c r="G137" s="7">
        <v>1</v>
      </c>
      <c r="H137" s="7">
        <v>0</v>
      </c>
      <c r="I137" s="7">
        <v>1</v>
      </c>
      <c r="J137" s="8">
        <v>1</v>
      </c>
      <c r="K137" s="9">
        <v>15</v>
      </c>
      <c r="L137" s="8">
        <f>IFERROR(VLOOKUP(B137, Lists!C:G, 5, FALSE), 0)</f>
        <v>1</v>
      </c>
    </row>
    <row r="138" spans="1:12">
      <c r="A138" s="6">
        <v>45731</v>
      </c>
      <c r="B138" s="7" t="s">
        <v>9</v>
      </c>
      <c r="C138" s="7" t="s">
        <v>10</v>
      </c>
      <c r="D138" s="7" t="s">
        <v>22</v>
      </c>
      <c r="E138" s="7" t="s">
        <v>25</v>
      </c>
      <c r="F138" s="7" t="s">
        <v>99</v>
      </c>
      <c r="G138" s="7">
        <v>1</v>
      </c>
      <c r="H138" s="7">
        <v>0</v>
      </c>
      <c r="I138" s="7">
        <v>1</v>
      </c>
      <c r="J138" s="8">
        <v>1</v>
      </c>
      <c r="K138" s="9">
        <v>15</v>
      </c>
      <c r="L138" s="8">
        <f>IFERROR(VLOOKUP(B138, Lists!C:G, 5, FALSE), 0)</f>
        <v>1</v>
      </c>
    </row>
    <row r="139" spans="1:12">
      <c r="A139" s="6">
        <v>45748</v>
      </c>
      <c r="B139" s="7" t="s">
        <v>9</v>
      </c>
      <c r="C139" s="7" t="s">
        <v>10</v>
      </c>
      <c r="D139" s="7" t="s">
        <v>29</v>
      </c>
      <c r="E139" s="7" t="s">
        <v>70</v>
      </c>
      <c r="F139" s="7" t="s">
        <v>12</v>
      </c>
      <c r="G139" s="7">
        <v>1</v>
      </c>
      <c r="H139" s="7">
        <v>0</v>
      </c>
      <c r="I139" s="7">
        <v>0</v>
      </c>
      <c r="J139" s="8">
        <v>0.7</v>
      </c>
      <c r="K139" s="9">
        <v>0</v>
      </c>
      <c r="L139" s="8">
        <f>IFERROR(VLOOKUP(B139, Lists!C:G, 5, FALSE), 0)</f>
        <v>1</v>
      </c>
    </row>
    <row r="140" spans="1:12">
      <c r="A140" s="6">
        <v>45748</v>
      </c>
      <c r="B140" s="7" t="s">
        <v>9</v>
      </c>
      <c r="C140" s="7" t="s">
        <v>10</v>
      </c>
      <c r="D140" s="7" t="s">
        <v>29</v>
      </c>
      <c r="E140" s="7" t="s">
        <v>70</v>
      </c>
      <c r="F140" s="7" t="s">
        <v>12</v>
      </c>
      <c r="G140" s="7">
        <v>1</v>
      </c>
      <c r="H140" s="7">
        <v>0</v>
      </c>
      <c r="I140" s="7">
        <v>0</v>
      </c>
      <c r="J140" s="8">
        <v>0.7</v>
      </c>
      <c r="K140" s="9">
        <v>0</v>
      </c>
      <c r="L140" s="8">
        <f>IFERROR(VLOOKUP(B140, Lists!C:G, 5, FALSE), 0)</f>
        <v>1</v>
      </c>
    </row>
    <row r="141" spans="1:12">
      <c r="A141" s="6">
        <v>45748</v>
      </c>
      <c r="B141" s="7" t="s">
        <v>9</v>
      </c>
      <c r="C141" s="7" t="s">
        <v>10</v>
      </c>
      <c r="D141" s="7" t="s">
        <v>29</v>
      </c>
      <c r="E141" s="7" t="s">
        <v>70</v>
      </c>
      <c r="F141" s="7" t="s">
        <v>12</v>
      </c>
      <c r="G141" s="7">
        <v>1</v>
      </c>
      <c r="H141" s="7">
        <v>0</v>
      </c>
      <c r="I141" s="7">
        <v>0</v>
      </c>
      <c r="J141" s="8">
        <v>0.7</v>
      </c>
      <c r="K141" s="9">
        <v>0</v>
      </c>
      <c r="L141" s="8">
        <f>IFERROR(VLOOKUP(B141, Lists!C:G, 5, FALSE), 0)</f>
        <v>1</v>
      </c>
    </row>
    <row r="142" spans="1:12">
      <c r="A142" s="6">
        <v>45748</v>
      </c>
      <c r="B142" s="7" t="s">
        <v>9</v>
      </c>
      <c r="C142" s="7" t="s">
        <v>10</v>
      </c>
      <c r="D142" s="7" t="s">
        <v>29</v>
      </c>
      <c r="E142" s="7" t="s">
        <v>70</v>
      </c>
      <c r="F142" s="7" t="s">
        <v>12</v>
      </c>
      <c r="G142" s="7">
        <v>1</v>
      </c>
      <c r="H142" s="7">
        <v>0</v>
      </c>
      <c r="I142" s="7">
        <v>0</v>
      </c>
      <c r="J142" s="8">
        <v>0.7</v>
      </c>
      <c r="K142" s="9">
        <v>0</v>
      </c>
      <c r="L142" s="8">
        <f>IFERROR(VLOOKUP(B142, Lists!C:G, 5, FALSE), 0)</f>
        <v>1</v>
      </c>
    </row>
    <row r="143" spans="1:12">
      <c r="A143" s="6">
        <v>45748</v>
      </c>
      <c r="B143" s="7" t="s">
        <v>9</v>
      </c>
      <c r="C143" s="7" t="s">
        <v>10</v>
      </c>
      <c r="D143" s="7" t="s">
        <v>29</v>
      </c>
      <c r="E143" s="7" t="s">
        <v>70</v>
      </c>
      <c r="F143" s="7" t="s">
        <v>12</v>
      </c>
      <c r="G143" s="7">
        <v>1</v>
      </c>
      <c r="H143" s="7">
        <v>0</v>
      </c>
      <c r="I143" s="7">
        <v>0</v>
      </c>
      <c r="J143" s="8">
        <v>0.7</v>
      </c>
      <c r="K143" s="9">
        <v>0</v>
      </c>
      <c r="L143" s="8">
        <f>IFERROR(VLOOKUP(B143, Lists!C:G, 5, FALSE), 0)</f>
        <v>1</v>
      </c>
    </row>
    <row r="144" spans="1:12">
      <c r="A144" s="6">
        <v>45748</v>
      </c>
      <c r="B144" s="7" t="s">
        <v>9</v>
      </c>
      <c r="C144" s="7" t="s">
        <v>10</v>
      </c>
      <c r="D144" s="7" t="s">
        <v>29</v>
      </c>
      <c r="E144" s="7" t="s">
        <v>70</v>
      </c>
      <c r="F144" s="7" t="s">
        <v>12</v>
      </c>
      <c r="G144" s="7">
        <v>1</v>
      </c>
      <c r="H144" s="7">
        <v>0</v>
      </c>
      <c r="I144" s="7">
        <v>0</v>
      </c>
      <c r="J144" s="8">
        <v>0.35</v>
      </c>
      <c r="K144" s="9">
        <v>0</v>
      </c>
      <c r="L144" s="8">
        <f>IFERROR(VLOOKUP(B144, Lists!C:G, 5, FALSE), 0)</f>
        <v>1</v>
      </c>
    </row>
    <row r="145" spans="1:12">
      <c r="A145" s="6">
        <v>45748</v>
      </c>
      <c r="B145" s="7" t="s">
        <v>9</v>
      </c>
      <c r="C145" s="7" t="s">
        <v>10</v>
      </c>
      <c r="D145" s="7" t="s">
        <v>29</v>
      </c>
      <c r="E145" s="7" t="s">
        <v>70</v>
      </c>
      <c r="F145" s="7" t="s">
        <v>56</v>
      </c>
      <c r="G145" s="7">
        <v>1</v>
      </c>
      <c r="H145" s="7">
        <v>0</v>
      </c>
      <c r="I145" s="7">
        <v>0</v>
      </c>
      <c r="J145" s="8">
        <v>0.7</v>
      </c>
      <c r="K145" s="9">
        <v>0</v>
      </c>
      <c r="L145" s="8">
        <f>IFERROR(VLOOKUP(B145, Lists!C:G, 5, FALSE), 0)</f>
        <v>1</v>
      </c>
    </row>
    <row r="146" spans="1:12">
      <c r="A146" s="6">
        <v>45748</v>
      </c>
      <c r="B146" s="7" t="s">
        <v>9</v>
      </c>
      <c r="C146" s="7" t="s">
        <v>10</v>
      </c>
      <c r="D146" s="7" t="s">
        <v>29</v>
      </c>
      <c r="E146" s="7" t="s">
        <v>70</v>
      </c>
      <c r="F146" s="7" t="s">
        <v>61</v>
      </c>
      <c r="G146" s="7">
        <v>1</v>
      </c>
      <c r="H146" s="7">
        <v>0</v>
      </c>
      <c r="I146" s="7">
        <v>0</v>
      </c>
      <c r="J146" s="8">
        <v>0.7</v>
      </c>
      <c r="K146" s="9">
        <v>0</v>
      </c>
      <c r="L146" s="8">
        <f>IFERROR(VLOOKUP(B146, Lists!C:G, 5, FALSE), 0)</f>
        <v>1</v>
      </c>
    </row>
    <row r="147" spans="1:12">
      <c r="A147" s="6">
        <v>45748</v>
      </c>
      <c r="B147" s="7" t="s">
        <v>35</v>
      </c>
      <c r="C147" s="7" t="s">
        <v>36</v>
      </c>
      <c r="D147" s="7" t="s">
        <v>22</v>
      </c>
      <c r="E147" s="7" t="s">
        <v>25</v>
      </c>
      <c r="F147" s="7" t="s">
        <v>12</v>
      </c>
      <c r="G147" s="7">
        <v>1</v>
      </c>
      <c r="H147" s="7">
        <v>0</v>
      </c>
      <c r="I147" s="7">
        <v>1</v>
      </c>
      <c r="J147" s="8">
        <v>0.6</v>
      </c>
      <c r="K147" s="9">
        <v>5.35</v>
      </c>
      <c r="L147" s="8">
        <f>IFERROR(VLOOKUP(B147, Lists!C:G, 5, FALSE), 0)</f>
        <v>0</v>
      </c>
    </row>
    <row r="148" spans="1:12">
      <c r="A148" s="6">
        <v>45748</v>
      </c>
      <c r="B148" s="7" t="s">
        <v>35</v>
      </c>
      <c r="C148" s="7" t="s">
        <v>36</v>
      </c>
      <c r="D148" s="7" t="s">
        <v>22</v>
      </c>
      <c r="E148" s="7" t="s">
        <v>25</v>
      </c>
      <c r="F148" s="7" t="s">
        <v>12</v>
      </c>
      <c r="G148" s="7">
        <v>1</v>
      </c>
      <c r="H148" s="7">
        <v>0</v>
      </c>
      <c r="I148" s="7">
        <v>1</v>
      </c>
      <c r="J148" s="8">
        <v>0.6</v>
      </c>
      <c r="K148" s="9">
        <v>5.35</v>
      </c>
      <c r="L148" s="8">
        <f>IFERROR(VLOOKUP(B148, Lists!C:G, 5, FALSE), 0)</f>
        <v>0</v>
      </c>
    </row>
    <row r="149" spans="1:12">
      <c r="A149" s="6">
        <v>45748</v>
      </c>
      <c r="B149" s="7" t="s">
        <v>35</v>
      </c>
      <c r="C149" s="7" t="s">
        <v>36</v>
      </c>
      <c r="D149" s="7" t="s">
        <v>22</v>
      </c>
      <c r="E149" s="7" t="s">
        <v>25</v>
      </c>
      <c r="F149" s="7" t="s">
        <v>12</v>
      </c>
      <c r="G149" s="7">
        <v>1</v>
      </c>
      <c r="H149" s="7">
        <v>0</v>
      </c>
      <c r="I149" s="7">
        <v>1</v>
      </c>
      <c r="J149" s="8">
        <v>0.6</v>
      </c>
      <c r="K149" s="9">
        <v>5.35</v>
      </c>
      <c r="L149" s="8">
        <f>IFERROR(VLOOKUP(B149, Lists!C:G, 5, FALSE), 0)</f>
        <v>0</v>
      </c>
    </row>
    <row r="150" spans="1:12">
      <c r="A150" s="6">
        <v>45748</v>
      </c>
      <c r="B150" s="7" t="s">
        <v>9</v>
      </c>
      <c r="C150" s="7" t="s">
        <v>10</v>
      </c>
      <c r="D150" s="7" t="s">
        <v>29</v>
      </c>
      <c r="E150" s="7" t="s">
        <v>26</v>
      </c>
      <c r="F150" s="7" t="s">
        <v>12</v>
      </c>
      <c r="G150" s="7">
        <v>2</v>
      </c>
      <c r="H150" s="7">
        <v>0</v>
      </c>
      <c r="I150" s="7">
        <v>0</v>
      </c>
      <c r="J150" s="8">
        <v>0.7</v>
      </c>
      <c r="K150" s="9">
        <v>0</v>
      </c>
      <c r="L150" s="8">
        <f>IFERROR(VLOOKUP(B150, Lists!C:G, 5, FALSE), 0)</f>
        <v>1</v>
      </c>
    </row>
    <row r="151" spans="1:12">
      <c r="A151" s="6">
        <v>45748</v>
      </c>
      <c r="B151" s="7" t="s">
        <v>9</v>
      </c>
      <c r="C151" s="7" t="s">
        <v>10</v>
      </c>
      <c r="D151" s="7" t="s">
        <v>29</v>
      </c>
      <c r="E151" s="7" t="s">
        <v>26</v>
      </c>
      <c r="F151" s="7" t="s">
        <v>12</v>
      </c>
      <c r="G151" s="7">
        <v>2</v>
      </c>
      <c r="H151" s="7">
        <v>0</v>
      </c>
      <c r="I151" s="7">
        <v>0</v>
      </c>
      <c r="J151" s="8">
        <v>0.7</v>
      </c>
      <c r="K151" s="9">
        <v>0</v>
      </c>
      <c r="L151" s="8">
        <f>IFERROR(VLOOKUP(B151, Lists!C:G, 5, FALSE), 0)</f>
        <v>1</v>
      </c>
    </row>
    <row r="152" spans="1:12">
      <c r="A152" s="6">
        <v>45748</v>
      </c>
      <c r="B152" s="7" t="s">
        <v>9</v>
      </c>
      <c r="C152" s="7" t="s">
        <v>10</v>
      </c>
      <c r="D152" s="7" t="s">
        <v>29</v>
      </c>
      <c r="E152" s="7" t="s">
        <v>26</v>
      </c>
      <c r="F152" s="7" t="s">
        <v>12</v>
      </c>
      <c r="G152" s="7">
        <v>2</v>
      </c>
      <c r="H152" s="7">
        <v>0</v>
      </c>
      <c r="I152" s="7">
        <v>0</v>
      </c>
      <c r="J152" s="8">
        <v>0.7</v>
      </c>
      <c r="K152" s="9">
        <v>0</v>
      </c>
      <c r="L152" s="8">
        <f>IFERROR(VLOOKUP(B152, Lists!C:G, 5, FALSE), 0)</f>
        <v>1</v>
      </c>
    </row>
    <row r="153" spans="1:12">
      <c r="A153" s="6">
        <v>45748</v>
      </c>
      <c r="B153" s="7" t="s">
        <v>9</v>
      </c>
      <c r="C153" s="7" t="s">
        <v>10</v>
      </c>
      <c r="D153" s="7" t="s">
        <v>29</v>
      </c>
      <c r="E153" s="7" t="s">
        <v>26</v>
      </c>
      <c r="F153" s="7" t="s">
        <v>62</v>
      </c>
      <c r="G153" s="7">
        <v>2</v>
      </c>
      <c r="H153" s="7">
        <v>0</v>
      </c>
      <c r="I153" s="7">
        <v>0</v>
      </c>
      <c r="J153" s="8">
        <v>0.7</v>
      </c>
      <c r="K153" s="9">
        <v>0</v>
      </c>
      <c r="L153" s="8">
        <f>IFERROR(VLOOKUP(B153, Lists!C:G, 5, FALSE), 0)</f>
        <v>1</v>
      </c>
    </row>
    <row r="154" spans="1:12">
      <c r="A154" s="6">
        <v>45748</v>
      </c>
      <c r="B154" s="7" t="s">
        <v>9</v>
      </c>
      <c r="C154" s="7" t="s">
        <v>10</v>
      </c>
      <c r="D154" s="7" t="s">
        <v>29</v>
      </c>
      <c r="E154" s="7" t="s">
        <v>26</v>
      </c>
      <c r="F154" s="7" t="s">
        <v>120</v>
      </c>
      <c r="G154" s="7">
        <v>2</v>
      </c>
      <c r="H154" s="7">
        <v>0</v>
      </c>
      <c r="I154" s="7">
        <v>0</v>
      </c>
      <c r="J154" s="8">
        <v>0.7</v>
      </c>
      <c r="K154" s="9">
        <v>0</v>
      </c>
      <c r="L154" s="8">
        <f>IFERROR(VLOOKUP(B154, Lists!C:G, 5, FALSE), 0)</f>
        <v>1</v>
      </c>
    </row>
    <row r="155" spans="1:12">
      <c r="A155" s="6">
        <v>45748</v>
      </c>
      <c r="B155" s="7" t="s">
        <v>9</v>
      </c>
      <c r="C155" s="7" t="s">
        <v>10</v>
      </c>
      <c r="D155" s="7" t="s">
        <v>29</v>
      </c>
      <c r="E155" s="7" t="s">
        <v>26</v>
      </c>
      <c r="F155" s="7" t="s">
        <v>59</v>
      </c>
      <c r="G155" s="7">
        <v>3</v>
      </c>
      <c r="H155" s="7">
        <v>0</v>
      </c>
      <c r="I155" s="7">
        <v>0</v>
      </c>
      <c r="J155" s="8">
        <v>0.7</v>
      </c>
      <c r="K155" s="9">
        <v>0</v>
      </c>
      <c r="L155" s="8">
        <f>IFERROR(VLOOKUP(B155, Lists!C:G, 5, FALSE), 0)</f>
        <v>1</v>
      </c>
    </row>
    <row r="156" spans="1:12">
      <c r="A156" s="6">
        <v>45748</v>
      </c>
      <c r="B156" s="7" t="s">
        <v>9</v>
      </c>
      <c r="C156" s="7" t="s">
        <v>10</v>
      </c>
      <c r="D156" s="7" t="s">
        <v>22</v>
      </c>
      <c r="E156" s="7" t="s">
        <v>25</v>
      </c>
      <c r="F156" s="7" t="s">
        <v>12</v>
      </c>
      <c r="G156" s="7">
        <v>3</v>
      </c>
      <c r="H156" s="7">
        <v>0</v>
      </c>
      <c r="I156" s="7">
        <v>0</v>
      </c>
      <c r="J156" s="8">
        <v>0.7</v>
      </c>
      <c r="K156" s="9">
        <v>6.06</v>
      </c>
      <c r="L156" s="8">
        <f>IFERROR(VLOOKUP(B156, Lists!C:G, 5, FALSE), 0)</f>
        <v>1</v>
      </c>
    </row>
    <row r="157" spans="1:12">
      <c r="A157" s="6">
        <v>45748</v>
      </c>
      <c r="B157" s="7" t="s">
        <v>9</v>
      </c>
      <c r="C157" s="7" t="s">
        <v>10</v>
      </c>
      <c r="D157" s="7" t="s">
        <v>29</v>
      </c>
      <c r="E157" s="7" t="s">
        <v>26</v>
      </c>
      <c r="F157" s="7" t="s">
        <v>118</v>
      </c>
      <c r="G157" s="7">
        <v>4</v>
      </c>
      <c r="H157" s="7">
        <v>0</v>
      </c>
      <c r="I157" s="7">
        <v>0</v>
      </c>
      <c r="J157" s="8">
        <v>0.7</v>
      </c>
      <c r="K157" s="9">
        <v>0</v>
      </c>
      <c r="L157" s="8">
        <f>IFERROR(VLOOKUP(B157, Lists!C:G, 5, FALSE), 0)</f>
        <v>1</v>
      </c>
    </row>
    <row r="158" spans="1:12">
      <c r="A158" s="6">
        <v>45748</v>
      </c>
      <c r="B158" s="7" t="s">
        <v>9</v>
      </c>
      <c r="C158" s="7" t="s">
        <v>10</v>
      </c>
      <c r="D158" s="7" t="s">
        <v>29</v>
      </c>
      <c r="E158" s="7" t="s">
        <v>26</v>
      </c>
      <c r="F158" s="7" t="s">
        <v>60</v>
      </c>
      <c r="G158" s="7">
        <v>4</v>
      </c>
      <c r="H158" s="7">
        <v>0</v>
      </c>
      <c r="I158" s="7">
        <v>0</v>
      </c>
      <c r="J158" s="8">
        <v>0.7</v>
      </c>
      <c r="K158" s="9">
        <v>0</v>
      </c>
      <c r="L158" s="8">
        <f>IFERROR(VLOOKUP(B158, Lists!C:G, 5, FALSE), 0)</f>
        <v>1</v>
      </c>
    </row>
    <row r="159" spans="1:12">
      <c r="A159" s="6">
        <v>45748</v>
      </c>
      <c r="B159" s="7" t="s">
        <v>9</v>
      </c>
      <c r="C159" s="7" t="s">
        <v>10</v>
      </c>
      <c r="D159" s="7" t="s">
        <v>29</v>
      </c>
      <c r="E159" s="7" t="s">
        <v>26</v>
      </c>
      <c r="F159" s="7" t="s">
        <v>56</v>
      </c>
      <c r="G159" s="7">
        <v>5</v>
      </c>
      <c r="H159" s="7">
        <v>0</v>
      </c>
      <c r="I159" s="7">
        <v>0</v>
      </c>
      <c r="J159" s="8">
        <v>0.7</v>
      </c>
      <c r="K159" s="9">
        <v>0</v>
      </c>
      <c r="L159" s="8">
        <f>IFERROR(VLOOKUP(B159, Lists!C:G, 5, FALSE), 0)</f>
        <v>1</v>
      </c>
    </row>
    <row r="160" spans="1:12">
      <c r="A160" s="6">
        <v>45748</v>
      </c>
      <c r="B160" s="7" t="s">
        <v>9</v>
      </c>
      <c r="C160" s="7" t="s">
        <v>10</v>
      </c>
      <c r="D160" s="7" t="s">
        <v>29</v>
      </c>
      <c r="E160" s="7" t="s">
        <v>26</v>
      </c>
      <c r="F160" s="7" t="s">
        <v>116</v>
      </c>
      <c r="G160" s="7">
        <v>8</v>
      </c>
      <c r="H160" s="7">
        <v>0</v>
      </c>
      <c r="I160" s="7">
        <v>0</v>
      </c>
      <c r="J160" s="8">
        <v>0.7</v>
      </c>
      <c r="K160" s="9">
        <v>0</v>
      </c>
      <c r="L160" s="8">
        <f>IFERROR(VLOOKUP(B160, Lists!C:G, 5, FALSE), 0)</f>
        <v>1</v>
      </c>
    </row>
    <row r="161" spans="1:12">
      <c r="A161" s="6">
        <v>45748</v>
      </c>
      <c r="B161" s="7" t="s">
        <v>9</v>
      </c>
      <c r="C161" s="7" t="s">
        <v>10</v>
      </c>
      <c r="D161" s="7" t="s">
        <v>29</v>
      </c>
      <c r="E161" s="7" t="s">
        <v>70</v>
      </c>
      <c r="F161" s="7" t="s">
        <v>56</v>
      </c>
      <c r="G161" s="7">
        <v>20</v>
      </c>
      <c r="H161" s="7">
        <v>0</v>
      </c>
      <c r="I161" s="7">
        <v>0</v>
      </c>
      <c r="J161" s="8">
        <v>0.7</v>
      </c>
      <c r="K161" s="9">
        <v>0</v>
      </c>
      <c r="L161" s="8">
        <f>IFERROR(VLOOKUP(B161, Lists!C:G, 5, FALSE), 0)</f>
        <v>1</v>
      </c>
    </row>
    <row r="162" spans="1:12">
      <c r="A162" s="6">
        <v>45748</v>
      </c>
      <c r="B162" s="7" t="s">
        <v>9</v>
      </c>
      <c r="C162" s="7" t="s">
        <v>10</v>
      </c>
      <c r="D162" s="7" t="s">
        <v>29</v>
      </c>
      <c r="E162" s="7" t="s">
        <v>70</v>
      </c>
      <c r="F162" s="7" t="s">
        <v>59</v>
      </c>
      <c r="G162" s="7">
        <v>31</v>
      </c>
      <c r="H162" s="7">
        <v>0</v>
      </c>
      <c r="I162" s="7">
        <v>0</v>
      </c>
      <c r="J162" s="8">
        <v>0.7</v>
      </c>
      <c r="K162" s="9">
        <v>0</v>
      </c>
      <c r="L162" s="8">
        <f>IFERROR(VLOOKUP(B162, Lists!C:G, 5, FALSE), 0)</f>
        <v>1</v>
      </c>
    </row>
    <row r="163" spans="1:12">
      <c r="A163" s="6">
        <v>45748</v>
      </c>
      <c r="B163" s="7" t="s">
        <v>9</v>
      </c>
      <c r="C163" s="7" t="s">
        <v>10</v>
      </c>
      <c r="D163" s="7" t="s">
        <v>29</v>
      </c>
      <c r="E163" s="7" t="s">
        <v>70</v>
      </c>
      <c r="F163" s="7" t="s">
        <v>16</v>
      </c>
      <c r="G163" s="7">
        <v>39</v>
      </c>
      <c r="H163" s="7">
        <v>0</v>
      </c>
      <c r="I163" s="7">
        <v>0</v>
      </c>
      <c r="J163" s="8">
        <v>0</v>
      </c>
      <c r="K163" s="9">
        <v>0</v>
      </c>
      <c r="L163" s="8">
        <f>IFERROR(VLOOKUP(B163, Lists!C:G, 5, FALSE), 0)</f>
        <v>1</v>
      </c>
    </row>
    <row r="164" spans="1:12">
      <c r="A164" s="6">
        <v>45748</v>
      </c>
      <c r="B164" s="7" t="s">
        <v>9</v>
      </c>
      <c r="C164" s="7" t="s">
        <v>10</v>
      </c>
      <c r="D164" s="7" t="s">
        <v>29</v>
      </c>
      <c r="E164" s="7" t="s">
        <v>70</v>
      </c>
      <c r="F164" s="7" t="s">
        <v>16</v>
      </c>
      <c r="G164" s="7">
        <v>39</v>
      </c>
      <c r="H164" s="7">
        <v>0</v>
      </c>
      <c r="I164" s="7">
        <v>0</v>
      </c>
      <c r="J164" s="8">
        <v>0</v>
      </c>
      <c r="K164" s="9">
        <v>0</v>
      </c>
      <c r="L164" s="8">
        <f>IFERROR(VLOOKUP(B164, Lists!C:G, 5, FALSE), 0)</f>
        <v>1</v>
      </c>
    </row>
    <row r="165" spans="1:12">
      <c r="A165" s="6">
        <v>45748</v>
      </c>
      <c r="B165" s="7" t="s">
        <v>9</v>
      </c>
      <c r="C165" s="7" t="s">
        <v>10</v>
      </c>
      <c r="D165" s="7" t="s">
        <v>29</v>
      </c>
      <c r="E165" s="7" t="s">
        <v>70</v>
      </c>
      <c r="F165" s="7" t="s">
        <v>16</v>
      </c>
      <c r="G165" s="7">
        <v>40</v>
      </c>
      <c r="H165" s="7">
        <v>0</v>
      </c>
      <c r="I165" s="7">
        <v>0</v>
      </c>
      <c r="J165" s="8">
        <v>0.7</v>
      </c>
      <c r="K165" s="9">
        <v>0</v>
      </c>
      <c r="L165" s="8">
        <f>IFERROR(VLOOKUP(B165, Lists!C:G, 5, FALSE), 0)</f>
        <v>1</v>
      </c>
    </row>
    <row r="166" spans="1:12">
      <c r="A166" s="6">
        <v>45748</v>
      </c>
      <c r="B166" s="7" t="s">
        <v>9</v>
      </c>
      <c r="C166" s="7" t="s">
        <v>10</v>
      </c>
      <c r="D166" s="7" t="s">
        <v>29</v>
      </c>
      <c r="E166" s="7" t="s">
        <v>70</v>
      </c>
      <c r="F166" s="7" t="s">
        <v>28</v>
      </c>
      <c r="G166" s="7">
        <v>53</v>
      </c>
      <c r="H166" s="7">
        <v>0</v>
      </c>
      <c r="I166" s="7">
        <v>0</v>
      </c>
      <c r="J166" s="8">
        <v>0.7</v>
      </c>
      <c r="K166" s="9">
        <v>0</v>
      </c>
      <c r="L166" s="8">
        <f>IFERROR(VLOOKUP(B166, Lists!C:G, 5, FALSE), 0)</f>
        <v>1</v>
      </c>
    </row>
    <row r="167" spans="1:12">
      <c r="A167" s="6">
        <v>45748</v>
      </c>
      <c r="B167" s="7" t="s">
        <v>9</v>
      </c>
      <c r="C167" s="7" t="s">
        <v>10</v>
      </c>
      <c r="D167" s="7" t="s">
        <v>29</v>
      </c>
      <c r="E167" s="7" t="s">
        <v>70</v>
      </c>
      <c r="F167" s="7" t="s">
        <v>12</v>
      </c>
      <c r="G167" s="7">
        <v>64</v>
      </c>
      <c r="H167" s="7">
        <v>0</v>
      </c>
      <c r="I167" s="7">
        <v>0</v>
      </c>
      <c r="J167" s="8">
        <v>0.35</v>
      </c>
      <c r="K167" s="9">
        <v>0</v>
      </c>
      <c r="L167" s="8">
        <f>IFERROR(VLOOKUP(B167, Lists!C:G, 5, FALSE), 0)</f>
        <v>1</v>
      </c>
    </row>
    <row r="168" spans="1:12">
      <c r="A168" s="6">
        <v>45748</v>
      </c>
      <c r="B168" s="7" t="s">
        <v>9</v>
      </c>
      <c r="C168" s="7" t="s">
        <v>10</v>
      </c>
      <c r="D168" s="7" t="s">
        <v>29</v>
      </c>
      <c r="E168" s="7" t="s">
        <v>70</v>
      </c>
      <c r="F168" s="7" t="s">
        <v>12</v>
      </c>
      <c r="G168" s="7">
        <v>401</v>
      </c>
      <c r="H168" s="7">
        <v>0</v>
      </c>
      <c r="I168" s="7">
        <v>0</v>
      </c>
      <c r="J168" s="8">
        <v>0</v>
      </c>
      <c r="K168" s="9">
        <v>0</v>
      </c>
      <c r="L168" s="8">
        <f>IFERROR(VLOOKUP(B168, Lists!C:G, 5, FALSE), 0)</f>
        <v>1</v>
      </c>
    </row>
    <row r="169" spans="1:12">
      <c r="A169" s="6">
        <v>45748</v>
      </c>
      <c r="B169" s="7" t="s">
        <v>9</v>
      </c>
      <c r="C169" s="7" t="s">
        <v>10</v>
      </c>
      <c r="D169" s="7" t="s">
        <v>29</v>
      </c>
      <c r="E169" s="7" t="s">
        <v>70</v>
      </c>
      <c r="F169" s="7" t="s">
        <v>12</v>
      </c>
      <c r="G169" s="7">
        <v>1318</v>
      </c>
      <c r="H169" s="7">
        <v>0</v>
      </c>
      <c r="I169" s="7">
        <v>0</v>
      </c>
      <c r="J169" s="8">
        <v>0.7</v>
      </c>
      <c r="K169" s="9">
        <v>0</v>
      </c>
      <c r="L169" s="8">
        <f>IFERROR(VLOOKUP(B169, Lists!C:G, 5, FALSE), 0)</f>
        <v>1</v>
      </c>
    </row>
    <row r="170" spans="1:12">
      <c r="A170" s="6">
        <v>45748</v>
      </c>
      <c r="B170" s="7" t="s">
        <v>35</v>
      </c>
      <c r="C170" s="7" t="s">
        <v>36</v>
      </c>
      <c r="D170" s="7" t="s">
        <v>22</v>
      </c>
      <c r="E170" s="7" t="s">
        <v>98</v>
      </c>
      <c r="F170" s="7" t="s">
        <v>12</v>
      </c>
      <c r="J170" s="8"/>
      <c r="K170" s="9">
        <v>-16.05</v>
      </c>
      <c r="L170" s="8">
        <f>IFERROR(VLOOKUP(B170, Lists!C:G, 5, FALSE), 0)</f>
        <v>0</v>
      </c>
    </row>
    <row r="171" spans="1:12">
      <c r="A171" s="6">
        <v>45750</v>
      </c>
      <c r="B171" s="7" t="s">
        <v>9</v>
      </c>
      <c r="C171" s="7" t="s">
        <v>10</v>
      </c>
      <c r="D171" s="7" t="s">
        <v>29</v>
      </c>
      <c r="E171" s="7" t="s">
        <v>26</v>
      </c>
      <c r="F171" s="7" t="s">
        <v>12</v>
      </c>
      <c r="G171" s="7">
        <v>5</v>
      </c>
      <c r="H171" s="7">
        <v>0</v>
      </c>
      <c r="I171" s="7">
        <v>5</v>
      </c>
      <c r="J171" s="11">
        <v>0</v>
      </c>
      <c r="K171" s="9">
        <v>2.375E-2</v>
      </c>
      <c r="L171" s="8">
        <f>IFERROR(VLOOKUP(B171, Lists!C:G, 5, FALSE), 0)</f>
        <v>1</v>
      </c>
    </row>
    <row r="172" spans="1:12">
      <c r="A172" s="6">
        <v>45751</v>
      </c>
      <c r="B172" s="7" t="s">
        <v>9</v>
      </c>
      <c r="C172" s="7" t="s">
        <v>10</v>
      </c>
      <c r="D172" s="7" t="s">
        <v>29</v>
      </c>
      <c r="E172" s="7" t="s">
        <v>70</v>
      </c>
      <c r="F172" s="7" t="s">
        <v>12</v>
      </c>
      <c r="G172" s="7">
        <v>106</v>
      </c>
      <c r="H172" s="7">
        <v>0</v>
      </c>
      <c r="I172" s="7">
        <v>106</v>
      </c>
      <c r="J172" s="11">
        <v>0</v>
      </c>
      <c r="K172" s="9">
        <v>0</v>
      </c>
      <c r="L172" s="8">
        <f>IFERROR(VLOOKUP(B172, Lists!C:G, 5, FALSE), 0)</f>
        <v>1</v>
      </c>
    </row>
    <row r="173" spans="1:12">
      <c r="A173" s="6">
        <v>45752</v>
      </c>
      <c r="B173" s="7" t="s">
        <v>9</v>
      </c>
      <c r="C173" s="7" t="s">
        <v>10</v>
      </c>
      <c r="D173" s="7" t="s">
        <v>29</v>
      </c>
      <c r="E173" s="7" t="s">
        <v>70</v>
      </c>
      <c r="F173" s="7" t="s">
        <v>12</v>
      </c>
      <c r="G173" s="7">
        <v>249</v>
      </c>
      <c r="H173" s="7">
        <v>0</v>
      </c>
      <c r="I173" s="7">
        <v>249</v>
      </c>
      <c r="J173" s="11">
        <v>0</v>
      </c>
      <c r="K173" s="9">
        <v>0</v>
      </c>
      <c r="L173" s="8">
        <f>IFERROR(VLOOKUP(B173, Lists!C:G, 5, FALSE), 0)</f>
        <v>1</v>
      </c>
    </row>
    <row r="174" spans="1:12">
      <c r="A174" s="6">
        <v>45755</v>
      </c>
      <c r="B174" s="7" t="s">
        <v>9</v>
      </c>
      <c r="C174" s="7" t="s">
        <v>10</v>
      </c>
      <c r="D174" s="7" t="s">
        <v>29</v>
      </c>
      <c r="E174" s="7" t="s">
        <v>70</v>
      </c>
      <c r="F174" s="7" t="s">
        <v>12</v>
      </c>
      <c r="G174" s="7">
        <v>41</v>
      </c>
      <c r="H174" s="7">
        <v>0</v>
      </c>
      <c r="I174" s="7">
        <v>41</v>
      </c>
      <c r="J174" s="11">
        <v>0</v>
      </c>
      <c r="K174" s="9">
        <v>0</v>
      </c>
      <c r="L174" s="8">
        <f>IFERROR(VLOOKUP(B174, Lists!C:G, 5, FALSE), 0)</f>
        <v>1</v>
      </c>
    </row>
    <row r="175" spans="1:12">
      <c r="A175" s="6">
        <v>45760</v>
      </c>
      <c r="B175" s="7" t="s">
        <v>9</v>
      </c>
      <c r="C175" s="7" t="s">
        <v>10</v>
      </c>
      <c r="D175" s="7" t="s">
        <v>29</v>
      </c>
      <c r="E175" s="7" t="s">
        <v>70</v>
      </c>
      <c r="F175" s="7" t="s">
        <v>12</v>
      </c>
      <c r="G175" s="7">
        <v>1</v>
      </c>
      <c r="H175" s="7">
        <v>0</v>
      </c>
      <c r="I175" s="7">
        <v>1</v>
      </c>
      <c r="J175" s="11">
        <v>0</v>
      </c>
      <c r="K175" s="9">
        <v>0</v>
      </c>
      <c r="L175" s="8">
        <f>IFERROR(VLOOKUP(B175, Lists!C:G, 5, FALSE), 0)</f>
        <v>1</v>
      </c>
    </row>
    <row r="176" spans="1:12">
      <c r="A176" s="6">
        <v>45761</v>
      </c>
      <c r="B176" s="7" t="s">
        <v>9</v>
      </c>
      <c r="C176" s="7" t="s">
        <v>10</v>
      </c>
      <c r="D176" s="7" t="s">
        <v>29</v>
      </c>
      <c r="E176" s="7" t="s">
        <v>70</v>
      </c>
      <c r="F176" s="7" t="s">
        <v>12</v>
      </c>
      <c r="G176" s="7">
        <v>81</v>
      </c>
      <c r="H176" s="7">
        <v>0</v>
      </c>
      <c r="I176" s="7">
        <v>81</v>
      </c>
      <c r="J176" s="11">
        <v>0</v>
      </c>
      <c r="K176" s="9">
        <v>0</v>
      </c>
      <c r="L176" s="8">
        <f>IFERROR(VLOOKUP(B176, Lists!C:G, 5, FALSE), 0)</f>
        <v>1</v>
      </c>
    </row>
    <row r="177" spans="1:12">
      <c r="A177" s="6">
        <v>45763</v>
      </c>
      <c r="B177" s="7" t="s">
        <v>9</v>
      </c>
      <c r="C177" s="7" t="s">
        <v>10</v>
      </c>
      <c r="D177" s="7" t="s">
        <v>29</v>
      </c>
      <c r="E177" s="7" t="s">
        <v>70</v>
      </c>
      <c r="F177" s="7" t="s">
        <v>12</v>
      </c>
      <c r="G177" s="7">
        <v>1</v>
      </c>
      <c r="H177" s="7">
        <v>0</v>
      </c>
      <c r="I177" s="7">
        <v>1</v>
      </c>
      <c r="J177" s="11">
        <v>0</v>
      </c>
      <c r="K177" s="9">
        <v>0</v>
      </c>
      <c r="L177" s="8">
        <f>IFERROR(VLOOKUP(B177, Lists!C:G, 5, FALSE), 0)</f>
        <v>1</v>
      </c>
    </row>
    <row r="178" spans="1:12">
      <c r="A178" s="6">
        <v>45764</v>
      </c>
      <c r="B178" s="7" t="s">
        <v>9</v>
      </c>
      <c r="C178" s="7" t="s">
        <v>10</v>
      </c>
      <c r="D178" s="7" t="s">
        <v>29</v>
      </c>
      <c r="E178" s="7" t="s">
        <v>70</v>
      </c>
      <c r="F178" s="7" t="s">
        <v>12</v>
      </c>
      <c r="G178" s="7">
        <v>38</v>
      </c>
      <c r="H178" s="7">
        <v>0</v>
      </c>
      <c r="I178" s="7">
        <v>38</v>
      </c>
      <c r="J178" s="11">
        <v>0</v>
      </c>
      <c r="K178" s="9">
        <v>0</v>
      </c>
      <c r="L178" s="8">
        <f>IFERROR(VLOOKUP(B178, Lists!C:G, 5, FALSE), 0)</f>
        <v>1</v>
      </c>
    </row>
    <row r="179" spans="1:12">
      <c r="A179" s="6">
        <v>45765</v>
      </c>
      <c r="B179" s="7" t="s">
        <v>9</v>
      </c>
      <c r="C179" s="7" t="s">
        <v>10</v>
      </c>
      <c r="D179" s="7" t="s">
        <v>29</v>
      </c>
      <c r="E179" s="7" t="s">
        <v>70</v>
      </c>
      <c r="F179" s="7" t="s">
        <v>12</v>
      </c>
      <c r="G179" s="7">
        <v>19</v>
      </c>
      <c r="H179" s="7">
        <v>0</v>
      </c>
      <c r="I179" s="7">
        <v>19</v>
      </c>
      <c r="J179" s="11">
        <v>0</v>
      </c>
      <c r="K179" s="9">
        <v>0</v>
      </c>
      <c r="L179" s="8">
        <f>IFERROR(VLOOKUP(B179, Lists!C:G, 5, FALSE), 0)</f>
        <v>1</v>
      </c>
    </row>
    <row r="180" spans="1:12">
      <c r="A180" s="6">
        <v>45767</v>
      </c>
      <c r="B180" s="7" t="s">
        <v>9</v>
      </c>
      <c r="C180" s="7" t="s">
        <v>10</v>
      </c>
      <c r="D180" s="7" t="s">
        <v>29</v>
      </c>
      <c r="E180" s="7" t="s">
        <v>26</v>
      </c>
      <c r="F180" s="7" t="s">
        <v>12</v>
      </c>
      <c r="G180" s="7">
        <v>2</v>
      </c>
      <c r="H180" s="7">
        <v>0</v>
      </c>
      <c r="I180" s="7">
        <v>2</v>
      </c>
      <c r="J180" s="11">
        <v>0</v>
      </c>
      <c r="K180" s="9">
        <v>9.4999999999999998E-3</v>
      </c>
      <c r="L180" s="8">
        <f>IFERROR(VLOOKUP(B180, Lists!C:G, 5, FALSE), 0)</f>
        <v>1</v>
      </c>
    </row>
    <row r="181" spans="1:12">
      <c r="A181" s="6">
        <v>45768</v>
      </c>
      <c r="B181" s="7" t="s">
        <v>9</v>
      </c>
      <c r="C181" s="7" t="s">
        <v>10</v>
      </c>
      <c r="D181" s="7" t="s">
        <v>29</v>
      </c>
      <c r="E181" s="7" t="s">
        <v>70</v>
      </c>
      <c r="F181" s="7" t="s">
        <v>12</v>
      </c>
      <c r="G181" s="7">
        <v>1</v>
      </c>
      <c r="H181" s="7">
        <v>0</v>
      </c>
      <c r="I181" s="7">
        <v>1</v>
      </c>
      <c r="J181" s="11">
        <v>0</v>
      </c>
      <c r="K181" s="9">
        <v>0</v>
      </c>
      <c r="L181" s="8">
        <f>IFERROR(VLOOKUP(B181, Lists!C:G, 5, FALSE), 0)</f>
        <v>1</v>
      </c>
    </row>
    <row r="182" spans="1:12">
      <c r="A182" s="6">
        <v>45770</v>
      </c>
      <c r="B182" s="7" t="s">
        <v>9</v>
      </c>
      <c r="C182" s="7" t="s">
        <v>10</v>
      </c>
      <c r="D182" s="7" t="s">
        <v>29</v>
      </c>
      <c r="E182" s="7" t="s">
        <v>26</v>
      </c>
      <c r="F182" s="7" t="s">
        <v>12</v>
      </c>
      <c r="G182" s="7">
        <v>7</v>
      </c>
      <c r="H182" s="7">
        <v>0</v>
      </c>
      <c r="I182" s="7">
        <v>7</v>
      </c>
      <c r="J182" s="11">
        <v>0</v>
      </c>
      <c r="K182" s="9">
        <v>3.3250000000000002E-2</v>
      </c>
      <c r="L182" s="8">
        <f>IFERROR(VLOOKUP(B182, Lists!C:G, 5, FALSE), 0)</f>
        <v>1</v>
      </c>
    </row>
    <row r="183" spans="1:12">
      <c r="A183" s="6">
        <v>45778</v>
      </c>
      <c r="B183" s="7" t="s">
        <v>55</v>
      </c>
      <c r="C183" s="7" t="s">
        <v>36</v>
      </c>
      <c r="D183" s="7" t="s">
        <v>22</v>
      </c>
      <c r="E183" s="7" t="s">
        <v>25</v>
      </c>
      <c r="F183" s="7" t="s">
        <v>12</v>
      </c>
      <c r="G183" s="7">
        <v>1</v>
      </c>
      <c r="H183" s="7">
        <v>0</v>
      </c>
      <c r="I183" s="7">
        <v>0</v>
      </c>
      <c r="J183" s="8">
        <v>1</v>
      </c>
      <c r="K183" s="9">
        <v>3.1</v>
      </c>
    </row>
    <row r="184" spans="1:12">
      <c r="A184" s="6">
        <v>45778</v>
      </c>
      <c r="B184" s="7" t="s">
        <v>43</v>
      </c>
      <c r="C184" s="7" t="s">
        <v>36</v>
      </c>
      <c r="D184" s="7" t="s">
        <v>22</v>
      </c>
      <c r="E184" s="7" t="s">
        <v>25</v>
      </c>
      <c r="F184" s="7" t="s">
        <v>12</v>
      </c>
      <c r="G184" s="7">
        <v>1</v>
      </c>
      <c r="H184" s="7">
        <v>0</v>
      </c>
      <c r="I184" s="7">
        <v>0</v>
      </c>
      <c r="J184" s="8">
        <v>1</v>
      </c>
      <c r="K184" s="9">
        <v>4.45</v>
      </c>
    </row>
    <row r="185" spans="1:12">
      <c r="A185" s="6">
        <v>45778</v>
      </c>
      <c r="B185" s="7" t="s">
        <v>40</v>
      </c>
      <c r="C185" s="7" t="s">
        <v>36</v>
      </c>
      <c r="D185" s="7" t="s">
        <v>22</v>
      </c>
      <c r="E185" s="7" t="s">
        <v>25</v>
      </c>
      <c r="F185" s="7" t="s">
        <v>12</v>
      </c>
      <c r="G185" s="7">
        <v>1</v>
      </c>
      <c r="H185" s="7">
        <v>0</v>
      </c>
      <c r="I185" s="7">
        <v>0</v>
      </c>
      <c r="J185" s="8">
        <v>1</v>
      </c>
      <c r="K185" s="9">
        <v>6.7</v>
      </c>
    </row>
    <row r="186" spans="1:12">
      <c r="A186" s="6">
        <v>45778</v>
      </c>
      <c r="B186" s="7" t="s">
        <v>9</v>
      </c>
      <c r="C186" s="7" t="s">
        <v>10</v>
      </c>
      <c r="D186" s="7" t="s">
        <v>22</v>
      </c>
      <c r="E186" s="7" t="s">
        <v>25</v>
      </c>
      <c r="F186" s="7" t="s">
        <v>118</v>
      </c>
      <c r="G186" s="7">
        <v>1</v>
      </c>
      <c r="H186" s="7">
        <v>0</v>
      </c>
      <c r="I186" s="7">
        <v>0</v>
      </c>
      <c r="J186" s="8">
        <v>1</v>
      </c>
      <c r="K186" s="9">
        <v>2.79</v>
      </c>
    </row>
    <row r="187" spans="1:12">
      <c r="A187" s="6">
        <v>45778</v>
      </c>
      <c r="B187" s="7" t="s">
        <v>9</v>
      </c>
      <c r="C187" s="7" t="s">
        <v>10</v>
      </c>
      <c r="D187" s="7" t="s">
        <v>22</v>
      </c>
      <c r="E187" s="7" t="s">
        <v>25</v>
      </c>
      <c r="F187" s="7" t="s">
        <v>59</v>
      </c>
      <c r="G187" s="7">
        <v>1</v>
      </c>
      <c r="H187" s="7">
        <v>0</v>
      </c>
      <c r="I187" s="7">
        <v>0</v>
      </c>
      <c r="J187" s="8">
        <v>1</v>
      </c>
      <c r="K187" s="9">
        <v>2.9</v>
      </c>
    </row>
    <row r="188" spans="1:12">
      <c r="A188" s="6">
        <v>45778</v>
      </c>
      <c r="B188" s="7" t="s">
        <v>9</v>
      </c>
      <c r="C188" s="7" t="s">
        <v>10</v>
      </c>
      <c r="D188" s="7" t="s">
        <v>29</v>
      </c>
      <c r="E188" s="7" t="s">
        <v>26</v>
      </c>
      <c r="F188" s="7" t="s">
        <v>12</v>
      </c>
      <c r="G188" s="7">
        <v>551</v>
      </c>
      <c r="H188" s="7">
        <v>0</v>
      </c>
      <c r="I188" s="7">
        <v>0</v>
      </c>
      <c r="J188" s="8">
        <v>1</v>
      </c>
      <c r="K188" s="9">
        <v>2.42</v>
      </c>
    </row>
    <row r="189" spans="1:12">
      <c r="A189" s="6">
        <v>45809</v>
      </c>
      <c r="B189" s="7" t="s">
        <v>9</v>
      </c>
      <c r="C189" s="7" t="s">
        <v>10</v>
      </c>
      <c r="D189" s="7" t="s">
        <v>22</v>
      </c>
      <c r="E189" s="7" t="s">
        <v>25</v>
      </c>
      <c r="F189" s="7" t="s">
        <v>12</v>
      </c>
      <c r="G189" s="7">
        <v>1</v>
      </c>
      <c r="H189" s="7">
        <v>0</v>
      </c>
      <c r="I189" s="7">
        <v>0</v>
      </c>
      <c r="J189" s="8">
        <v>1</v>
      </c>
      <c r="K189" s="9">
        <v>1.05</v>
      </c>
    </row>
    <row r="190" spans="1:12">
      <c r="A190" s="6">
        <v>45809</v>
      </c>
      <c r="B190" s="7" t="s">
        <v>35</v>
      </c>
      <c r="C190" s="7" t="s">
        <v>36</v>
      </c>
      <c r="D190" s="7" t="s">
        <v>22</v>
      </c>
      <c r="E190" s="7" t="s">
        <v>25</v>
      </c>
      <c r="F190" s="7" t="s">
        <v>12</v>
      </c>
      <c r="G190" s="7">
        <v>1</v>
      </c>
      <c r="H190" s="7">
        <v>0</v>
      </c>
      <c r="I190" s="7">
        <v>0</v>
      </c>
      <c r="J190" s="8">
        <v>1</v>
      </c>
      <c r="K190" s="9">
        <v>2.04</v>
      </c>
    </row>
    <row r="191" spans="1:12">
      <c r="A191" s="6">
        <v>45809</v>
      </c>
      <c r="B191" s="7" t="s">
        <v>35</v>
      </c>
      <c r="C191" s="7" t="s">
        <v>36</v>
      </c>
      <c r="D191" s="7" t="s">
        <v>22</v>
      </c>
      <c r="E191" s="7" t="s">
        <v>25</v>
      </c>
      <c r="F191" s="7" t="s">
        <v>12</v>
      </c>
      <c r="G191" s="7">
        <v>1</v>
      </c>
      <c r="H191" s="7">
        <v>0</v>
      </c>
      <c r="I191" s="7">
        <v>0</v>
      </c>
      <c r="J191" s="8">
        <v>1</v>
      </c>
      <c r="K191" s="9">
        <v>2.04</v>
      </c>
    </row>
    <row r="192" spans="1:12">
      <c r="A192" s="6">
        <v>45809</v>
      </c>
      <c r="B192" s="7" t="s">
        <v>9</v>
      </c>
      <c r="C192" s="7" t="s">
        <v>10</v>
      </c>
      <c r="D192" s="7" t="s">
        <v>22</v>
      </c>
      <c r="E192" s="7" t="s">
        <v>25</v>
      </c>
      <c r="F192" s="7" t="s">
        <v>16</v>
      </c>
      <c r="G192" s="7">
        <v>1</v>
      </c>
      <c r="H192" s="7">
        <v>0</v>
      </c>
      <c r="I192" s="7">
        <v>0</v>
      </c>
      <c r="J192" s="8">
        <v>1</v>
      </c>
      <c r="K192" s="9">
        <v>2.83</v>
      </c>
    </row>
    <row r="193" spans="1:12">
      <c r="A193" s="6">
        <v>45809</v>
      </c>
      <c r="B193" s="7" t="s">
        <v>9</v>
      </c>
      <c r="C193" s="7" t="s">
        <v>10</v>
      </c>
      <c r="D193" s="7" t="s">
        <v>29</v>
      </c>
      <c r="E193" s="7" t="s">
        <v>26</v>
      </c>
      <c r="F193" s="7" t="s">
        <v>12</v>
      </c>
      <c r="G193" s="7">
        <v>39</v>
      </c>
      <c r="H193" s="7">
        <v>0</v>
      </c>
      <c r="I193" s="7">
        <v>0</v>
      </c>
      <c r="J193" s="8">
        <v>1</v>
      </c>
      <c r="K193" s="9">
        <v>0.17</v>
      </c>
    </row>
    <row r="194" spans="1:12">
      <c r="A194" s="6">
        <v>45839</v>
      </c>
      <c r="B194" s="7" t="s">
        <v>55</v>
      </c>
      <c r="C194" s="7" t="s">
        <v>36</v>
      </c>
      <c r="D194" s="7" t="s">
        <v>22</v>
      </c>
      <c r="E194" s="7" t="s">
        <v>125</v>
      </c>
      <c r="F194" s="7" t="s">
        <v>12</v>
      </c>
      <c r="G194" s="7">
        <v>1</v>
      </c>
      <c r="H194" s="7">
        <v>0</v>
      </c>
      <c r="I194" s="7">
        <v>1</v>
      </c>
      <c r="J194" s="8">
        <v>1</v>
      </c>
      <c r="K194" s="9">
        <v>-135.24</v>
      </c>
    </row>
    <row r="195" spans="1:12">
      <c r="A195" s="6">
        <v>45839</v>
      </c>
      <c r="B195" s="7" t="s">
        <v>9</v>
      </c>
      <c r="C195" s="7" t="s">
        <v>10</v>
      </c>
      <c r="D195" s="7" t="s">
        <v>22</v>
      </c>
      <c r="E195" s="7" t="s">
        <v>25</v>
      </c>
      <c r="F195" s="7" t="s">
        <v>12</v>
      </c>
      <c r="G195" s="7">
        <v>2</v>
      </c>
      <c r="H195" s="7">
        <v>0</v>
      </c>
      <c r="I195" s="7">
        <v>0</v>
      </c>
      <c r="J195" s="8">
        <v>1</v>
      </c>
      <c r="K195" s="9">
        <v>3.1</v>
      </c>
    </row>
    <row r="196" spans="1:12">
      <c r="A196" s="6">
        <v>45839</v>
      </c>
      <c r="B196" s="7" t="s">
        <v>9</v>
      </c>
      <c r="C196" s="7" t="s">
        <v>10</v>
      </c>
      <c r="D196" s="7" t="s">
        <v>29</v>
      </c>
      <c r="E196" s="7" t="s">
        <v>26</v>
      </c>
      <c r="F196" s="7" t="s">
        <v>12</v>
      </c>
      <c r="G196" s="7">
        <v>515</v>
      </c>
      <c r="H196" s="7">
        <v>0</v>
      </c>
      <c r="I196" s="7">
        <v>0</v>
      </c>
      <c r="J196" s="8">
        <v>1</v>
      </c>
      <c r="K196" s="9">
        <v>2.16</v>
      </c>
    </row>
    <row r="197" spans="1:12">
      <c r="A197" s="6">
        <v>45839</v>
      </c>
      <c r="B197" s="7" t="s">
        <v>9</v>
      </c>
      <c r="C197" s="7" t="s">
        <v>10</v>
      </c>
      <c r="D197" s="7" t="s">
        <v>29</v>
      </c>
      <c r="E197" s="7" t="s">
        <v>26</v>
      </c>
      <c r="F197" s="7" t="s">
        <v>59</v>
      </c>
      <c r="G197" s="7">
        <v>108</v>
      </c>
      <c r="H197" s="7">
        <v>0</v>
      </c>
      <c r="I197" s="7">
        <v>0</v>
      </c>
      <c r="J197" s="8">
        <v>1</v>
      </c>
      <c r="K197" s="9">
        <v>0.39</v>
      </c>
    </row>
    <row r="198" spans="1:12">
      <c r="A198" s="6">
        <v>45839</v>
      </c>
      <c r="B198" s="7" t="s">
        <v>143</v>
      </c>
      <c r="C198" s="7" t="s">
        <v>36</v>
      </c>
      <c r="D198" s="7" t="s">
        <v>146</v>
      </c>
      <c r="E198" s="7" t="s">
        <v>144</v>
      </c>
      <c r="F198" s="7" t="s">
        <v>145</v>
      </c>
      <c r="G198" s="7">
        <v>1</v>
      </c>
      <c r="H198" s="7">
        <v>0</v>
      </c>
      <c r="I198" s="7">
        <v>1</v>
      </c>
      <c r="J198" s="8">
        <v>1</v>
      </c>
      <c r="K198" s="9">
        <v>-43.98</v>
      </c>
    </row>
    <row r="199" spans="1:12">
      <c r="A199" s="6">
        <v>45839</v>
      </c>
      <c r="B199" s="7" t="s">
        <v>148</v>
      </c>
      <c r="C199" s="7" t="s">
        <v>36</v>
      </c>
      <c r="D199" s="7" t="s">
        <v>147</v>
      </c>
      <c r="E199" s="7" t="s">
        <v>149</v>
      </c>
      <c r="F199" s="7" t="s">
        <v>148</v>
      </c>
      <c r="G199" s="7">
        <v>1</v>
      </c>
      <c r="H199" s="7">
        <v>0</v>
      </c>
      <c r="I199" s="7">
        <v>1</v>
      </c>
      <c r="J199" s="8">
        <v>1</v>
      </c>
      <c r="K199" s="9">
        <v>22.31</v>
      </c>
    </row>
    <row r="200" spans="1:12">
      <c r="A200" s="6">
        <v>45839</v>
      </c>
      <c r="B200" s="7" t="s">
        <v>148</v>
      </c>
      <c r="C200" s="7" t="s">
        <v>36</v>
      </c>
      <c r="D200" s="7" t="s">
        <v>147</v>
      </c>
      <c r="E200" s="7" t="s">
        <v>149</v>
      </c>
      <c r="F200" s="7" t="s">
        <v>148</v>
      </c>
      <c r="G200" s="7">
        <v>1</v>
      </c>
      <c r="H200" s="7">
        <v>0</v>
      </c>
      <c r="I200" s="7">
        <v>1</v>
      </c>
      <c r="J200" s="8">
        <v>1</v>
      </c>
      <c r="K200" s="9">
        <v>22.31</v>
      </c>
    </row>
    <row r="201" spans="1:12">
      <c r="A201" s="6">
        <v>45839</v>
      </c>
      <c r="B201" s="7" t="s">
        <v>150</v>
      </c>
      <c r="C201" s="7" t="s">
        <v>36</v>
      </c>
      <c r="D201" s="7" t="s">
        <v>151</v>
      </c>
      <c r="E201" s="7" t="s">
        <v>25</v>
      </c>
      <c r="F201" s="7" t="s">
        <v>150</v>
      </c>
      <c r="G201" s="7">
        <v>4</v>
      </c>
      <c r="H201" s="7">
        <v>0</v>
      </c>
      <c r="I201" s="7">
        <v>1</v>
      </c>
      <c r="J201" s="8">
        <v>1</v>
      </c>
      <c r="K201" s="9">
        <v>-20</v>
      </c>
    </row>
    <row r="202" spans="1:12">
      <c r="A202" s="6">
        <v>45839</v>
      </c>
      <c r="B202" s="7" t="s">
        <v>152</v>
      </c>
      <c r="C202" s="7" t="s">
        <v>36</v>
      </c>
      <c r="D202" s="7" t="s">
        <v>22</v>
      </c>
      <c r="E202" s="7" t="s">
        <v>153</v>
      </c>
      <c r="F202" s="7" t="s">
        <v>12</v>
      </c>
      <c r="G202" s="7">
        <v>1</v>
      </c>
      <c r="H202" s="7">
        <v>0</v>
      </c>
      <c r="I202" s="7">
        <v>1</v>
      </c>
      <c r="J202" s="8">
        <v>1</v>
      </c>
      <c r="K202" s="9">
        <v>20</v>
      </c>
    </row>
    <row r="203" spans="1:12">
      <c r="A203" s="68">
        <v>45870</v>
      </c>
      <c r="B203" s="69" t="s">
        <v>101</v>
      </c>
      <c r="C203" s="69" t="s">
        <v>82</v>
      </c>
      <c r="D203" s="69" t="s">
        <v>22</v>
      </c>
      <c r="E203" s="69" t="s">
        <v>25</v>
      </c>
      <c r="F203" s="69" t="s">
        <v>12</v>
      </c>
      <c r="G203" s="69">
        <v>1</v>
      </c>
      <c r="H203" s="69">
        <v>0</v>
      </c>
      <c r="I203" s="69">
        <v>1</v>
      </c>
      <c r="J203" s="70">
        <v>0.6</v>
      </c>
      <c r="K203" s="71">
        <v>12</v>
      </c>
      <c r="L203" s="8">
        <f>IFERROR(VLOOKUP(B203, Lists!C:G, 5, FALSE), 0)</f>
        <v>0.5</v>
      </c>
    </row>
    <row r="204" spans="1:12">
      <c r="A204" s="6">
        <v>45839</v>
      </c>
      <c r="B204" s="7" t="s">
        <v>55</v>
      </c>
      <c r="C204" s="7" t="s">
        <v>36</v>
      </c>
      <c r="D204" s="7" t="s">
        <v>22</v>
      </c>
      <c r="E204" s="7" t="s">
        <v>154</v>
      </c>
      <c r="F204" s="7" t="s">
        <v>12</v>
      </c>
      <c r="G204" s="7">
        <v>1</v>
      </c>
      <c r="H204" s="7">
        <v>0</v>
      </c>
      <c r="I204" s="7">
        <v>1</v>
      </c>
      <c r="J204" s="8">
        <v>1</v>
      </c>
      <c r="K204" s="9">
        <v>135.24</v>
      </c>
    </row>
    <row r="205" spans="1:12">
      <c r="A205" s="6">
        <v>45870</v>
      </c>
      <c r="B205" s="7" t="s">
        <v>148</v>
      </c>
      <c r="C205" s="7" t="s">
        <v>36</v>
      </c>
      <c r="D205" s="7" t="s">
        <v>147</v>
      </c>
      <c r="E205" s="7" t="s">
        <v>149</v>
      </c>
      <c r="F205" s="7" t="s">
        <v>148</v>
      </c>
      <c r="G205" s="7">
        <v>1</v>
      </c>
      <c r="H205" s="7">
        <v>0</v>
      </c>
      <c r="I205" s="7">
        <v>1</v>
      </c>
      <c r="J205" s="8">
        <v>1</v>
      </c>
      <c r="K205" s="9">
        <v>22.9</v>
      </c>
    </row>
    <row r="206" spans="1:12">
      <c r="A206" s="6">
        <v>45870</v>
      </c>
      <c r="B206" s="7" t="s">
        <v>148</v>
      </c>
      <c r="C206" s="7" t="s">
        <v>36</v>
      </c>
      <c r="D206" s="7" t="s">
        <v>147</v>
      </c>
      <c r="E206" s="7" t="s">
        <v>149</v>
      </c>
      <c r="F206" s="7" t="s">
        <v>148</v>
      </c>
      <c r="G206" s="7">
        <v>1</v>
      </c>
      <c r="H206" s="7">
        <v>0</v>
      </c>
      <c r="I206" s="7">
        <v>1</v>
      </c>
      <c r="J206" s="8">
        <v>1</v>
      </c>
      <c r="K206" s="9">
        <v>13.44</v>
      </c>
    </row>
    <row r="207" spans="1:12">
      <c r="A207" s="6">
        <v>45870</v>
      </c>
      <c r="B207" s="7" t="s">
        <v>101</v>
      </c>
      <c r="C207" s="7" t="s">
        <v>82</v>
      </c>
      <c r="D207" s="7" t="s">
        <v>29</v>
      </c>
      <c r="E207" s="7" t="s">
        <v>26</v>
      </c>
      <c r="F207" s="7" t="s">
        <v>12</v>
      </c>
      <c r="G207" s="7">
        <v>0</v>
      </c>
      <c r="H207" s="7">
        <v>0</v>
      </c>
      <c r="I207" s="7">
        <v>0</v>
      </c>
      <c r="J207" s="11">
        <v>1</v>
      </c>
      <c r="K207" s="9">
        <v>0.05</v>
      </c>
      <c r="L207" s="7">
        <v>0.5</v>
      </c>
    </row>
    <row r="208" spans="1:12">
      <c r="A208" s="6">
        <v>45870</v>
      </c>
      <c r="B208" s="7" t="s">
        <v>101</v>
      </c>
      <c r="C208" s="7" t="s">
        <v>82</v>
      </c>
      <c r="D208" s="7" t="s">
        <v>29</v>
      </c>
      <c r="E208" s="7" t="s">
        <v>69</v>
      </c>
      <c r="F208" s="7" t="s">
        <v>12</v>
      </c>
      <c r="G208" s="7">
        <v>1</v>
      </c>
      <c r="H208" s="7">
        <v>0</v>
      </c>
      <c r="I208" s="7">
        <v>1</v>
      </c>
      <c r="J208" s="11">
        <v>0.7</v>
      </c>
      <c r="K208" s="9">
        <v>4.8600000000000003</v>
      </c>
      <c r="L208" s="7">
        <v>0.5</v>
      </c>
    </row>
    <row r="209" spans="1:12">
      <c r="A209" s="6">
        <v>45870</v>
      </c>
      <c r="B209" s="7" t="s">
        <v>101</v>
      </c>
      <c r="C209" s="7" t="s">
        <v>82</v>
      </c>
      <c r="D209" s="7" t="s">
        <v>22</v>
      </c>
      <c r="E209" s="7" t="s">
        <v>25</v>
      </c>
      <c r="F209" s="7" t="s">
        <v>16</v>
      </c>
      <c r="G209" s="7">
        <v>1</v>
      </c>
      <c r="H209" s="7">
        <v>0</v>
      </c>
      <c r="I209" s="7">
        <v>1</v>
      </c>
      <c r="J209" s="11">
        <v>0.6</v>
      </c>
      <c r="K209" s="9">
        <v>6.9</v>
      </c>
      <c r="L209" s="7">
        <v>0.5</v>
      </c>
    </row>
    <row r="210" spans="1:12">
      <c r="A210" s="6">
        <v>45870</v>
      </c>
      <c r="B210" s="7" t="s">
        <v>101</v>
      </c>
      <c r="C210" s="7" t="s">
        <v>82</v>
      </c>
      <c r="D210" s="7" t="s">
        <v>29</v>
      </c>
      <c r="E210" s="7" t="s">
        <v>25</v>
      </c>
      <c r="F210" s="7" t="s">
        <v>12</v>
      </c>
      <c r="G210" s="7">
        <v>1</v>
      </c>
      <c r="H210" s="7">
        <v>0</v>
      </c>
      <c r="I210" s="7">
        <v>1</v>
      </c>
      <c r="J210" s="11">
        <v>0.7</v>
      </c>
      <c r="K210" s="9">
        <v>4.8600000000000003</v>
      </c>
      <c r="L210" s="7">
        <v>0.5</v>
      </c>
    </row>
    <row r="211" spans="1:12">
      <c r="A211" s="6">
        <v>45870</v>
      </c>
      <c r="B211" s="7" t="s">
        <v>101</v>
      </c>
      <c r="C211" s="7" t="s">
        <v>82</v>
      </c>
      <c r="D211" s="7" t="s">
        <v>22</v>
      </c>
      <c r="E211" s="7" t="s">
        <v>25</v>
      </c>
      <c r="F211" s="7" t="s">
        <v>12</v>
      </c>
      <c r="G211" s="7">
        <v>1</v>
      </c>
      <c r="H211" s="7">
        <v>0</v>
      </c>
      <c r="I211" s="7">
        <v>1</v>
      </c>
      <c r="J211" s="11">
        <v>0.6</v>
      </c>
      <c r="K211" s="9">
        <v>4.9000000000000004</v>
      </c>
      <c r="L211" s="7">
        <v>0.5</v>
      </c>
    </row>
    <row r="212" spans="1:12">
      <c r="A212" s="6">
        <v>45870</v>
      </c>
      <c r="B212" s="7" t="s">
        <v>9</v>
      </c>
      <c r="C212" s="7" t="s">
        <v>10</v>
      </c>
      <c r="D212" s="7" t="s">
        <v>29</v>
      </c>
      <c r="E212" s="7" t="s">
        <v>26</v>
      </c>
      <c r="F212" s="7" t="s">
        <v>12</v>
      </c>
      <c r="G212" s="7">
        <v>287</v>
      </c>
      <c r="H212" s="7">
        <v>0</v>
      </c>
      <c r="I212" s="7">
        <v>0</v>
      </c>
      <c r="J212" s="11">
        <v>1</v>
      </c>
      <c r="K212" s="9">
        <v>1.23</v>
      </c>
      <c r="L212" s="7">
        <v>1</v>
      </c>
    </row>
    <row r="213" spans="1:12">
      <c r="A213" s="6">
        <v>45901</v>
      </c>
      <c r="B213" s="7" t="s">
        <v>101</v>
      </c>
      <c r="C213" s="7" t="s">
        <v>82</v>
      </c>
      <c r="D213" s="7" t="s">
        <v>22</v>
      </c>
      <c r="E213" s="7" t="s">
        <v>25</v>
      </c>
      <c r="F213" s="7" t="s">
        <v>12</v>
      </c>
      <c r="G213" s="7">
        <v>1</v>
      </c>
      <c r="H213" s="7">
        <v>0</v>
      </c>
      <c r="I213" s="7">
        <v>1</v>
      </c>
      <c r="J213" s="11">
        <v>0.6</v>
      </c>
      <c r="K213" s="9">
        <v>4.9000000000000004</v>
      </c>
      <c r="L213" s="7">
        <v>0.5</v>
      </c>
    </row>
    <row r="214" spans="1:12">
      <c r="A214" s="6">
        <v>45901</v>
      </c>
      <c r="B214" s="7" t="s">
        <v>9</v>
      </c>
      <c r="C214" s="7" t="s">
        <v>10</v>
      </c>
      <c r="D214" s="7" t="s">
        <v>29</v>
      </c>
      <c r="E214" s="7" t="s">
        <v>26</v>
      </c>
      <c r="F214" s="7" t="s">
        <v>12</v>
      </c>
      <c r="G214" s="7">
        <v>510</v>
      </c>
      <c r="H214" s="7">
        <v>0</v>
      </c>
      <c r="I214" s="7">
        <v>0</v>
      </c>
      <c r="J214" s="11">
        <v>1</v>
      </c>
      <c r="K214" s="9">
        <v>2.2999999999999998</v>
      </c>
      <c r="L214" s="7">
        <v>1</v>
      </c>
    </row>
    <row r="215" spans="1:12">
      <c r="A215" s="6">
        <v>45901</v>
      </c>
      <c r="B215" s="7" t="s">
        <v>148</v>
      </c>
      <c r="C215" s="7" t="s">
        <v>36</v>
      </c>
      <c r="D215" s="7" t="s">
        <v>147</v>
      </c>
      <c r="E215" s="7" t="s">
        <v>149</v>
      </c>
      <c r="F215" s="7" t="s">
        <v>148</v>
      </c>
      <c r="G215" s="7">
        <v>1</v>
      </c>
      <c r="H215" s="7">
        <v>0</v>
      </c>
      <c r="I215" s="7">
        <v>1</v>
      </c>
      <c r="J215" s="8">
        <v>1</v>
      </c>
      <c r="K215" s="9">
        <v>23</v>
      </c>
      <c r="L215" s="7">
        <v>0</v>
      </c>
    </row>
    <row r="216" spans="1:12">
      <c r="A216" s="6">
        <v>45901</v>
      </c>
      <c r="B216" s="7" t="s">
        <v>148</v>
      </c>
      <c r="C216" s="7" t="s">
        <v>36</v>
      </c>
      <c r="D216" s="7" t="s">
        <v>147</v>
      </c>
      <c r="E216" s="7" t="s">
        <v>149</v>
      </c>
      <c r="F216" s="7" t="s">
        <v>148</v>
      </c>
      <c r="G216" s="7">
        <v>1</v>
      </c>
      <c r="H216" s="7">
        <v>0</v>
      </c>
      <c r="I216" s="7">
        <v>1</v>
      </c>
      <c r="J216" s="8">
        <v>1</v>
      </c>
      <c r="K216" s="9">
        <v>13.63</v>
      </c>
      <c r="L216" s="7">
        <v>0</v>
      </c>
    </row>
    <row r="217" spans="1:12">
      <c r="A217" s="6">
        <v>45931</v>
      </c>
      <c r="B217" s="7" t="s">
        <v>101</v>
      </c>
      <c r="C217" s="7" t="s">
        <v>82</v>
      </c>
      <c r="D217" s="7" t="s">
        <v>22</v>
      </c>
      <c r="E217" s="7" t="s">
        <v>25</v>
      </c>
      <c r="F217" s="7" t="s">
        <v>16</v>
      </c>
      <c r="G217" s="7">
        <v>1</v>
      </c>
      <c r="H217" s="7">
        <v>0</v>
      </c>
      <c r="I217" s="7">
        <v>1</v>
      </c>
      <c r="J217" s="8">
        <v>0.6</v>
      </c>
      <c r="K217" s="9">
        <v>6.9</v>
      </c>
      <c r="L217" s="7">
        <v>0.5</v>
      </c>
    </row>
    <row r="218" spans="1:12">
      <c r="A218" s="6">
        <v>45931</v>
      </c>
      <c r="B218" s="7" t="s">
        <v>101</v>
      </c>
      <c r="C218" s="7" t="s">
        <v>82</v>
      </c>
      <c r="D218" s="7" t="s">
        <v>22</v>
      </c>
      <c r="E218" s="7" t="s">
        <v>25</v>
      </c>
      <c r="F218" s="7" t="s">
        <v>12</v>
      </c>
      <c r="G218" s="7">
        <v>1</v>
      </c>
      <c r="H218" s="7">
        <v>0</v>
      </c>
      <c r="I218" s="7">
        <v>1</v>
      </c>
      <c r="J218" s="8">
        <v>0.6</v>
      </c>
      <c r="K218" s="9">
        <v>4.9000000000000004</v>
      </c>
      <c r="L218" s="7">
        <v>0.5</v>
      </c>
    </row>
    <row r="219" spans="1:12">
      <c r="A219" s="6">
        <v>45931</v>
      </c>
      <c r="B219" s="7" t="s">
        <v>148</v>
      </c>
      <c r="C219" s="7" t="s">
        <v>36</v>
      </c>
      <c r="D219" s="7" t="s">
        <v>147</v>
      </c>
      <c r="E219" s="7" t="s">
        <v>149</v>
      </c>
      <c r="F219" s="7" t="s">
        <v>148</v>
      </c>
      <c r="G219" s="7">
        <v>1</v>
      </c>
      <c r="H219" s="7">
        <v>0</v>
      </c>
      <c r="I219" s="7">
        <v>1</v>
      </c>
      <c r="J219" s="8">
        <v>1</v>
      </c>
      <c r="K219" s="9">
        <v>4.26</v>
      </c>
      <c r="L219" s="7">
        <v>0</v>
      </c>
    </row>
    <row r="220" spans="1:12">
      <c r="A220" s="6">
        <v>45931</v>
      </c>
      <c r="B220" s="7" t="s">
        <v>148</v>
      </c>
      <c r="C220" s="7" t="s">
        <v>36</v>
      </c>
      <c r="D220" s="7" t="s">
        <v>147</v>
      </c>
      <c r="E220" s="7" t="s">
        <v>149</v>
      </c>
      <c r="F220" s="7" t="s">
        <v>148</v>
      </c>
      <c r="G220" s="7">
        <v>1</v>
      </c>
      <c r="H220" s="7">
        <v>0</v>
      </c>
      <c r="I220" s="7">
        <v>1</v>
      </c>
      <c r="J220" s="8">
        <v>1</v>
      </c>
      <c r="K220" s="9">
        <v>13.63</v>
      </c>
      <c r="L220" s="7">
        <v>0</v>
      </c>
    </row>
    <row r="221" spans="1:12">
      <c r="A221" s="6">
        <v>45962</v>
      </c>
      <c r="B221" s="7" t="s">
        <v>101</v>
      </c>
      <c r="C221" s="7" t="s">
        <v>82</v>
      </c>
      <c r="D221" s="7" t="s">
        <v>29</v>
      </c>
      <c r="E221" s="7" t="s">
        <v>26</v>
      </c>
      <c r="F221" s="7" t="s">
        <v>12</v>
      </c>
      <c r="G221" s="7">
        <v>0</v>
      </c>
      <c r="H221" s="7">
        <v>0</v>
      </c>
      <c r="I221" s="7">
        <v>0</v>
      </c>
      <c r="J221" s="8">
        <v>1</v>
      </c>
      <c r="K221" s="9">
        <v>0.06</v>
      </c>
      <c r="L221" s="7">
        <v>0.5</v>
      </c>
    </row>
    <row r="222" spans="1:12">
      <c r="A222" s="6">
        <v>45962</v>
      </c>
      <c r="B222" s="7" t="s">
        <v>101</v>
      </c>
      <c r="C222" s="7" t="s">
        <v>82</v>
      </c>
      <c r="D222" s="7" t="s">
        <v>29</v>
      </c>
      <c r="E222" s="7" t="s">
        <v>25</v>
      </c>
      <c r="F222" s="7" t="s">
        <v>12</v>
      </c>
      <c r="G222" s="7">
        <v>1</v>
      </c>
      <c r="H222" s="7">
        <v>0</v>
      </c>
      <c r="I222" s="7">
        <v>1</v>
      </c>
      <c r="J222" s="8">
        <v>0.7</v>
      </c>
      <c r="K222" s="9">
        <v>4.8600000000000003</v>
      </c>
      <c r="L222" s="7">
        <v>0.5</v>
      </c>
    </row>
    <row r="223" spans="1:12">
      <c r="A223" s="6">
        <v>45931</v>
      </c>
      <c r="B223" s="7" t="s">
        <v>148</v>
      </c>
      <c r="C223" s="7" t="s">
        <v>36</v>
      </c>
      <c r="D223" s="7" t="s">
        <v>147</v>
      </c>
      <c r="E223" s="7" t="s">
        <v>98</v>
      </c>
      <c r="F223" s="7" t="s">
        <v>148</v>
      </c>
      <c r="G223" s="7">
        <v>0</v>
      </c>
      <c r="H223" s="7">
        <v>0</v>
      </c>
      <c r="I223" s="7">
        <v>0</v>
      </c>
      <c r="J223" s="8">
        <v>1</v>
      </c>
      <c r="K223" s="9">
        <v>-40.049999999999997</v>
      </c>
      <c r="L223" s="7">
        <v>0</v>
      </c>
    </row>
    <row r="224" spans="1:12">
      <c r="A224" s="6">
        <v>45962</v>
      </c>
      <c r="B224" s="7" t="s">
        <v>55</v>
      </c>
      <c r="C224" s="7" t="s">
        <v>36</v>
      </c>
      <c r="D224" s="7" t="s">
        <v>29</v>
      </c>
      <c r="E224" s="7" t="s">
        <v>26</v>
      </c>
      <c r="F224" s="7" t="s">
        <v>12</v>
      </c>
      <c r="G224" s="7">
        <v>0</v>
      </c>
      <c r="H224" s="7">
        <v>0</v>
      </c>
      <c r="I224" s="7">
        <v>0</v>
      </c>
      <c r="J224" s="8">
        <v>1</v>
      </c>
      <c r="K224" s="9">
        <v>7.0000000000000007E-2</v>
      </c>
      <c r="L224" s="7">
        <v>0</v>
      </c>
    </row>
    <row r="225" spans="1:13">
      <c r="A225" s="6">
        <v>45992</v>
      </c>
      <c r="B225" s="7" t="s">
        <v>9</v>
      </c>
      <c r="C225" s="7" t="s">
        <v>10</v>
      </c>
      <c r="D225" s="7" t="s">
        <v>29</v>
      </c>
      <c r="E225" s="7" t="s">
        <v>25</v>
      </c>
      <c r="F225" s="7" t="s">
        <v>16</v>
      </c>
      <c r="G225" s="7">
        <v>1</v>
      </c>
      <c r="H225" s="7">
        <v>0</v>
      </c>
      <c r="I225" s="7">
        <v>1</v>
      </c>
      <c r="J225" s="8">
        <v>0.7</v>
      </c>
      <c r="K225" s="9">
        <v>2.83</v>
      </c>
      <c r="L225" s="7">
        <v>1</v>
      </c>
    </row>
    <row r="226" spans="1:13">
      <c r="A226" s="6">
        <v>45962</v>
      </c>
      <c r="B226" s="7" t="s">
        <v>148</v>
      </c>
      <c r="C226" s="7" t="s">
        <v>36</v>
      </c>
      <c r="D226" s="7" t="s">
        <v>147</v>
      </c>
      <c r="E226" s="7" t="s">
        <v>149</v>
      </c>
      <c r="F226" s="7" t="s">
        <v>148</v>
      </c>
      <c r="G226" s="7">
        <v>1</v>
      </c>
      <c r="H226" s="7">
        <v>0</v>
      </c>
      <c r="I226" s="7">
        <v>1</v>
      </c>
      <c r="J226" s="8">
        <v>1</v>
      </c>
      <c r="K226" s="9">
        <v>23</v>
      </c>
    </row>
    <row r="227" spans="1:13">
      <c r="A227" s="6">
        <v>45992</v>
      </c>
      <c r="B227" s="7" t="s">
        <v>148</v>
      </c>
      <c r="C227" s="7" t="s">
        <v>36</v>
      </c>
      <c r="D227" s="7" t="s">
        <v>147</v>
      </c>
      <c r="E227" s="7" t="s">
        <v>98</v>
      </c>
      <c r="F227" s="7" t="s">
        <v>148</v>
      </c>
      <c r="G227" s="7">
        <v>0</v>
      </c>
      <c r="H227" s="7">
        <v>0</v>
      </c>
      <c r="I227" s="7">
        <v>0</v>
      </c>
      <c r="J227" s="8">
        <v>1</v>
      </c>
      <c r="K227" s="9">
        <v>-73.88</v>
      </c>
    </row>
    <row r="228" spans="1:13">
      <c r="A228" s="6">
        <v>45992</v>
      </c>
      <c r="B228" s="7" t="s">
        <v>148</v>
      </c>
      <c r="C228" s="7" t="s">
        <v>36</v>
      </c>
      <c r="D228" s="7" t="s">
        <v>147</v>
      </c>
      <c r="E228" s="7" t="s">
        <v>149</v>
      </c>
      <c r="F228" s="7" t="s">
        <v>148</v>
      </c>
      <c r="G228" s="7">
        <v>1</v>
      </c>
      <c r="H228" s="7">
        <v>0</v>
      </c>
      <c r="I228" s="7">
        <v>1</v>
      </c>
      <c r="J228" s="8">
        <v>1</v>
      </c>
      <c r="K228" s="9">
        <v>50</v>
      </c>
      <c r="M228" s="7" t="s">
        <v>155</v>
      </c>
    </row>
    <row r="229" spans="1:13">
      <c r="A229" s="6">
        <v>45992</v>
      </c>
      <c r="B229" s="7" t="s">
        <v>148</v>
      </c>
      <c r="C229" s="7" t="s">
        <v>36</v>
      </c>
      <c r="D229" s="7" t="s">
        <v>147</v>
      </c>
      <c r="E229" s="7" t="s">
        <v>98</v>
      </c>
      <c r="F229" s="7" t="s">
        <v>148</v>
      </c>
      <c r="G229" s="7">
        <v>0</v>
      </c>
      <c r="H229" s="7">
        <v>0</v>
      </c>
      <c r="I229" s="7">
        <v>0</v>
      </c>
      <c r="J229" s="8">
        <v>1</v>
      </c>
      <c r="K229" s="9">
        <v>-46</v>
      </c>
    </row>
    <row r="230" spans="1:13">
      <c r="A230" s="6">
        <v>45992</v>
      </c>
      <c r="B230" s="7" t="s">
        <v>148</v>
      </c>
      <c r="C230" s="7" t="s">
        <v>36</v>
      </c>
      <c r="D230" s="7" t="s">
        <v>147</v>
      </c>
      <c r="E230" s="7" t="s">
        <v>149</v>
      </c>
      <c r="F230" s="7" t="s">
        <v>148</v>
      </c>
      <c r="G230" s="7">
        <v>1</v>
      </c>
      <c r="H230" s="7">
        <v>0</v>
      </c>
      <c r="I230" s="7">
        <v>1</v>
      </c>
      <c r="J230" s="8">
        <v>1</v>
      </c>
      <c r="K230" s="9">
        <v>5</v>
      </c>
      <c r="M230" s="7" t="s">
        <v>155</v>
      </c>
    </row>
    <row r="231" spans="1:13">
      <c r="J231" s="8"/>
      <c r="K231" s="9"/>
    </row>
    <row r="232" spans="1:13">
      <c r="J232" s="8"/>
      <c r="K232" s="9"/>
    </row>
    <row r="233" spans="1:13">
      <c r="J233" s="8"/>
      <c r="K233" s="9"/>
    </row>
    <row r="234" spans="1:13">
      <c r="J234" s="8"/>
      <c r="K234" s="9"/>
    </row>
    <row r="235" spans="1:13">
      <c r="J235" s="8"/>
      <c r="K235" s="9"/>
    </row>
    <row r="236" spans="1:13">
      <c r="J236" s="8"/>
      <c r="K236" s="9"/>
    </row>
    <row r="237" spans="1:13">
      <c r="J237" s="8"/>
      <c r="K237" s="9"/>
    </row>
    <row r="238" spans="1:13">
      <c r="J238" s="8"/>
      <c r="K238" s="9"/>
    </row>
    <row r="239" spans="1:13">
      <c r="J239" s="8"/>
      <c r="K239" s="9"/>
    </row>
    <row r="240" spans="1:13">
      <c r="J240" s="8"/>
      <c r="K240" s="9"/>
    </row>
    <row r="241" spans="10:11">
      <c r="J241" s="8"/>
      <c r="K241" s="9"/>
    </row>
    <row r="242" spans="10:11">
      <c r="J242" s="8"/>
      <c r="K242" s="9"/>
    </row>
    <row r="243" spans="10:11">
      <c r="J243" s="8"/>
      <c r="K243" s="9"/>
    </row>
    <row r="244" spans="10:11">
      <c r="J244" s="8"/>
      <c r="K244" s="9"/>
    </row>
    <row r="245" spans="10:11">
      <c r="J245" s="8"/>
      <c r="K245" s="9"/>
    </row>
    <row r="246" spans="10:11">
      <c r="J246" s="8"/>
      <c r="K246" s="9"/>
    </row>
    <row r="247" spans="10:11">
      <c r="J247" s="8"/>
      <c r="K247" s="9"/>
    </row>
    <row r="248" spans="10:11">
      <c r="J248" s="8"/>
      <c r="K248" s="9"/>
    </row>
    <row r="249" spans="10:11">
      <c r="J249" s="8"/>
      <c r="K249" s="9"/>
    </row>
    <row r="250" spans="10:11">
      <c r="J250" s="8"/>
      <c r="K250" s="9"/>
    </row>
    <row r="251" spans="10:11">
      <c r="J251" s="8"/>
      <c r="K251" s="9"/>
    </row>
    <row r="252" spans="10:11">
      <c r="J252" s="8"/>
      <c r="K252" s="9"/>
    </row>
    <row r="253" spans="10:11">
      <c r="J253" s="8"/>
      <c r="K253" s="9"/>
    </row>
    <row r="254" spans="10:11">
      <c r="J254" s="8"/>
      <c r="K254" s="9"/>
    </row>
    <row r="255" spans="10:11">
      <c r="J255" s="8"/>
      <c r="K255" s="9"/>
    </row>
    <row r="256" spans="10:11">
      <c r="J256" s="8"/>
      <c r="K256" s="9"/>
    </row>
    <row r="257" spans="10:11">
      <c r="J257" s="8"/>
      <c r="K257" s="9"/>
    </row>
    <row r="258" spans="10:11">
      <c r="J258" s="8"/>
      <c r="K258" s="9"/>
    </row>
    <row r="259" spans="10:11">
      <c r="J259" s="8"/>
      <c r="K259" s="9"/>
    </row>
    <row r="260" spans="10:11">
      <c r="J260" s="8"/>
      <c r="K260" s="9"/>
    </row>
    <row r="261" spans="10:11">
      <c r="J261" s="8"/>
      <c r="K261" s="9"/>
    </row>
    <row r="262" spans="10:11">
      <c r="J262" s="8"/>
      <c r="K262" s="9"/>
    </row>
    <row r="263" spans="10:11">
      <c r="J263" s="8"/>
      <c r="K263" s="9"/>
    </row>
    <row r="264" spans="10:11">
      <c r="J264" s="8"/>
      <c r="K264" s="9"/>
    </row>
    <row r="265" spans="10:11">
      <c r="J265" s="8"/>
      <c r="K265" s="9"/>
    </row>
    <row r="266" spans="10:11">
      <c r="J266" s="8"/>
      <c r="K266" s="9"/>
    </row>
    <row r="267" spans="10:11">
      <c r="J267" s="8"/>
      <c r="K267" s="9"/>
    </row>
    <row r="268" spans="10:11">
      <c r="J268" s="8"/>
      <c r="K268" s="9"/>
    </row>
    <row r="269" spans="10:11">
      <c r="J269" s="8"/>
      <c r="K269" s="9"/>
    </row>
    <row r="270" spans="10:11">
      <c r="J270" s="8"/>
      <c r="K270" s="9"/>
    </row>
    <row r="271" spans="10:11">
      <c r="J271" s="8"/>
      <c r="K271" s="9"/>
    </row>
    <row r="272" spans="10:11">
      <c r="J272" s="8"/>
      <c r="K272" s="9"/>
    </row>
    <row r="273" spans="10:11">
      <c r="J273" s="8"/>
      <c r="K273" s="9"/>
    </row>
    <row r="274" spans="10:11">
      <c r="J274" s="8"/>
      <c r="K274" s="9"/>
    </row>
    <row r="275" spans="10:11">
      <c r="J275" s="8"/>
      <c r="K275" s="9"/>
    </row>
    <row r="276" spans="10:11">
      <c r="J276" s="8"/>
      <c r="K276" s="9"/>
    </row>
    <row r="277" spans="10:11">
      <c r="J277" s="8"/>
      <c r="K277" s="9"/>
    </row>
    <row r="278" spans="10:11">
      <c r="J278" s="8"/>
      <c r="K278" s="9"/>
    </row>
    <row r="279" spans="10:11">
      <c r="J279" s="8"/>
      <c r="K279" s="9"/>
    </row>
    <row r="280" spans="10:11">
      <c r="J280" s="8"/>
      <c r="K280" s="9"/>
    </row>
    <row r="281" spans="10:11">
      <c r="J281" s="8"/>
      <c r="K281" s="9"/>
    </row>
    <row r="282" spans="10:11">
      <c r="J282" s="8"/>
      <c r="K282" s="9"/>
    </row>
    <row r="283" spans="10:11">
      <c r="J283" s="8"/>
      <c r="K283" s="9"/>
    </row>
    <row r="284" spans="10:11">
      <c r="J284" s="8"/>
      <c r="K284" s="9"/>
    </row>
    <row r="285" spans="10:11">
      <c r="J285" s="8"/>
      <c r="K285" s="9"/>
    </row>
    <row r="286" spans="10:11">
      <c r="J286" s="8"/>
      <c r="K286" s="9"/>
    </row>
    <row r="287" spans="10:11">
      <c r="J287" s="8"/>
      <c r="K287" s="9"/>
    </row>
    <row r="288" spans="10:11">
      <c r="J288" s="8"/>
      <c r="K288" s="9"/>
    </row>
    <row r="289" spans="10:11">
      <c r="J289" s="8"/>
      <c r="K289" s="9"/>
    </row>
    <row r="290" spans="10:11">
      <c r="J290" s="8"/>
      <c r="K290" s="9"/>
    </row>
    <row r="291" spans="10:11">
      <c r="J291" s="8"/>
      <c r="K291" s="9"/>
    </row>
    <row r="292" spans="10:11">
      <c r="J292" s="8"/>
      <c r="K292" s="9"/>
    </row>
    <row r="293" spans="10:11">
      <c r="J293" s="8"/>
      <c r="K293" s="9"/>
    </row>
    <row r="294" spans="10:11">
      <c r="J294" s="8"/>
      <c r="K294" s="9"/>
    </row>
    <row r="295" spans="10:11">
      <c r="J295" s="8"/>
      <c r="K295" s="9"/>
    </row>
    <row r="296" spans="10:11">
      <c r="J296" s="8"/>
      <c r="K296" s="9"/>
    </row>
    <row r="297" spans="10:11">
      <c r="J297" s="8"/>
      <c r="K297" s="9"/>
    </row>
    <row r="298" spans="10:11">
      <c r="J298" s="8"/>
      <c r="K298" s="9"/>
    </row>
    <row r="299" spans="10:11">
      <c r="J299" s="8"/>
      <c r="K299" s="9"/>
    </row>
    <row r="300" spans="10:11">
      <c r="J300" s="8"/>
      <c r="K300" s="9"/>
    </row>
    <row r="301" spans="10:11">
      <c r="J301" s="8"/>
      <c r="K301" s="9"/>
    </row>
    <row r="302" spans="10:11">
      <c r="J302" s="8"/>
      <c r="K302" s="9"/>
    </row>
    <row r="303" spans="10:11">
      <c r="J303" s="8"/>
      <c r="K303" s="9"/>
    </row>
    <row r="304" spans="10:11">
      <c r="J304" s="8"/>
      <c r="K304" s="9"/>
    </row>
    <row r="305" spans="10:11">
      <c r="J305" s="8"/>
      <c r="K305" s="9"/>
    </row>
    <row r="306" spans="10:11">
      <c r="J306" s="8"/>
      <c r="K306" s="9"/>
    </row>
    <row r="307" spans="10:11">
      <c r="J307" s="8"/>
      <c r="K307" s="9"/>
    </row>
    <row r="308" spans="10:11">
      <c r="J308" s="8"/>
      <c r="K308" s="9"/>
    </row>
    <row r="309" spans="10:11">
      <c r="J309" s="8"/>
      <c r="K309" s="9"/>
    </row>
    <row r="310" spans="10:11">
      <c r="J310" s="8"/>
      <c r="K310" s="9"/>
    </row>
    <row r="311" spans="10:11">
      <c r="J311" s="8"/>
      <c r="K311" s="9"/>
    </row>
    <row r="312" spans="10:11">
      <c r="J312" s="8"/>
      <c r="K312" s="9"/>
    </row>
    <row r="313" spans="10:11">
      <c r="J313" s="8"/>
      <c r="K313" s="9"/>
    </row>
    <row r="314" spans="10:11">
      <c r="J314" s="8"/>
      <c r="K314" s="9"/>
    </row>
    <row r="315" spans="10:11">
      <c r="J315" s="8"/>
      <c r="K315" s="9"/>
    </row>
    <row r="316" spans="10:11">
      <c r="J316" s="8"/>
      <c r="K316" s="9"/>
    </row>
    <row r="317" spans="10:11">
      <c r="J317" s="8"/>
      <c r="K317" s="9"/>
    </row>
    <row r="318" spans="10:11">
      <c r="J318" s="8"/>
      <c r="K318" s="9"/>
    </row>
    <row r="319" spans="10:11">
      <c r="J319" s="8"/>
      <c r="K319" s="9"/>
    </row>
    <row r="320" spans="10:11">
      <c r="J320" s="8"/>
      <c r="K320" s="9"/>
    </row>
    <row r="321" spans="10:11">
      <c r="J321" s="8"/>
      <c r="K321" s="9"/>
    </row>
    <row r="322" spans="10:11">
      <c r="J322" s="8"/>
      <c r="K322" s="9"/>
    </row>
    <row r="323" spans="10:11">
      <c r="J323" s="8"/>
      <c r="K323" s="9"/>
    </row>
    <row r="324" spans="10:11">
      <c r="J324" s="8"/>
      <c r="K324" s="9"/>
    </row>
    <row r="325" spans="10:11">
      <c r="J325" s="8"/>
      <c r="K325" s="9"/>
    </row>
    <row r="326" spans="10:11">
      <c r="J326" s="8"/>
      <c r="K326" s="9"/>
    </row>
    <row r="327" spans="10:11">
      <c r="J327" s="8"/>
      <c r="K327" s="9"/>
    </row>
    <row r="328" spans="10:11">
      <c r="J328" s="8"/>
      <c r="K328" s="9"/>
    </row>
    <row r="329" spans="10:11">
      <c r="J329" s="8"/>
      <c r="K329" s="9"/>
    </row>
    <row r="330" spans="10:11">
      <c r="J330" s="8"/>
      <c r="K330" s="9"/>
    </row>
    <row r="331" spans="10:11">
      <c r="J331" s="8"/>
      <c r="K331" s="9"/>
    </row>
    <row r="332" spans="10:11">
      <c r="J332" s="8"/>
      <c r="K332" s="9"/>
    </row>
    <row r="333" spans="10:11">
      <c r="J333" s="8"/>
      <c r="K333" s="9"/>
    </row>
    <row r="334" spans="10:11">
      <c r="J334" s="8"/>
      <c r="K334" s="9"/>
    </row>
    <row r="335" spans="10:11">
      <c r="J335" s="8"/>
      <c r="K335" s="9"/>
    </row>
    <row r="336" spans="10:11">
      <c r="J336" s="8"/>
      <c r="K336" s="9"/>
    </row>
    <row r="337" spans="10:11">
      <c r="J337" s="8"/>
      <c r="K337" s="9"/>
    </row>
    <row r="338" spans="10:11">
      <c r="J338" s="8"/>
      <c r="K338" s="9"/>
    </row>
    <row r="339" spans="10:11">
      <c r="J339" s="8"/>
      <c r="K339" s="9"/>
    </row>
    <row r="340" spans="10:11">
      <c r="J340" s="8"/>
      <c r="K340" s="9"/>
    </row>
    <row r="341" spans="10:11">
      <c r="J341" s="8"/>
      <c r="K341" s="9"/>
    </row>
    <row r="342" spans="10:11">
      <c r="J342" s="8"/>
      <c r="K342" s="9"/>
    </row>
    <row r="343" spans="10:11">
      <c r="J343" s="8"/>
      <c r="K343" s="9"/>
    </row>
    <row r="344" spans="10:11">
      <c r="J344" s="8"/>
      <c r="K344" s="9"/>
    </row>
    <row r="345" spans="10:11">
      <c r="J345" s="8"/>
      <c r="K345" s="9"/>
    </row>
    <row r="346" spans="10:11">
      <c r="J346" s="8"/>
      <c r="K346" s="9"/>
    </row>
    <row r="347" spans="10:11">
      <c r="J347" s="8"/>
      <c r="K347" s="9"/>
    </row>
    <row r="348" spans="10:11">
      <c r="J348" s="8"/>
      <c r="K348" s="9"/>
    </row>
    <row r="349" spans="10:11">
      <c r="J349" s="8"/>
      <c r="K349" s="9"/>
    </row>
    <row r="350" spans="10:11">
      <c r="J350" s="8"/>
      <c r="K350" s="9"/>
    </row>
    <row r="351" spans="10:11">
      <c r="J351" s="8"/>
      <c r="K351" s="9"/>
    </row>
    <row r="352" spans="10:11">
      <c r="J352" s="8"/>
      <c r="K352" s="9"/>
    </row>
  </sheetData>
  <autoFilter ref="A1:K230" xr:uid="{8219136B-E750-46F1-A9C3-157164C1DD2A}">
    <sortState xmlns:xlrd2="http://schemas.microsoft.com/office/spreadsheetml/2017/richdata2" ref="A2:K226">
      <sortCondition ref="A1:A225"/>
    </sortState>
  </autoFilter>
  <sortState xmlns:xlrd2="http://schemas.microsoft.com/office/spreadsheetml/2017/richdata2" ref="A2:L225">
    <sortCondition ref="A217:A225"/>
  </sortState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5F75-DDA8-47C9-A01C-74DB57FAAB38}">
  <dimension ref="A1:U27"/>
  <sheetViews>
    <sheetView workbookViewId="0">
      <selection activeCell="K22" sqref="A19:K22"/>
    </sheetView>
  </sheetViews>
  <sheetFormatPr defaultRowHeight="15"/>
  <cols>
    <col min="1" max="1" width="16.5703125" customWidth="1"/>
    <col min="2" max="2" width="28" customWidth="1"/>
    <col min="3" max="11" width="16.5703125" customWidth="1"/>
  </cols>
  <sheetData>
    <row r="1" spans="1:11">
      <c r="A1" s="3" t="s">
        <v>17</v>
      </c>
      <c r="B1" s="3" t="s">
        <v>0</v>
      </c>
      <c r="C1" s="3" t="s">
        <v>1</v>
      </c>
      <c r="D1" s="3" t="s">
        <v>21</v>
      </c>
      <c r="E1" s="3" t="s">
        <v>19</v>
      </c>
      <c r="F1" s="3" t="s">
        <v>2</v>
      </c>
      <c r="G1" s="3" t="s">
        <v>3</v>
      </c>
      <c r="H1" s="3" t="s">
        <v>4</v>
      </c>
      <c r="I1" s="3" t="s">
        <v>18</v>
      </c>
      <c r="J1" s="3" t="s">
        <v>20</v>
      </c>
      <c r="K1" s="3" t="s">
        <v>8</v>
      </c>
    </row>
    <row r="2" spans="1:11">
      <c r="A2" s="1" t="str">
        <f>Paste!A2</f>
        <v>2025-05</v>
      </c>
      <c r="B2" t="str">
        <f>Paste!B2</f>
        <v>Painting Celia</v>
      </c>
      <c r="C2" t="str">
        <f>Paste!C2</f>
        <v>Maya Bairey</v>
      </c>
      <c r="D2" t="str">
        <f>Paste!D2</f>
        <v>B0D13JKQD6</v>
      </c>
      <c r="E2" t="str">
        <f>_xlfn.XLOOKUP(Paste!D2, Lists!A:A, Lists!B:B, "Unknown")</f>
        <v>Ebook</v>
      </c>
      <c r="F2" t="str">
        <f>Paste!E2</f>
        <v>Amazon.com</v>
      </c>
      <c r="G2">
        <f>Paste!H2</f>
        <v>551</v>
      </c>
      <c r="H2">
        <v>0</v>
      </c>
      <c r="I2">
        <f>IFERROR(VALUE(Paste!J2),0)</f>
        <v>0</v>
      </c>
      <c r="J2" s="4" t="str">
        <f>Paste!I2</f>
        <v>N/A</v>
      </c>
      <c r="K2" s="5">
        <f>Paste!P2</f>
        <v>2.42</v>
      </c>
    </row>
    <row r="3" spans="1:11">
      <c r="A3" s="1" t="str">
        <f>Paste!A3</f>
        <v>2025-05</v>
      </c>
      <c r="B3" t="str">
        <f>Paste!B3</f>
        <v>Tributaries</v>
      </c>
      <c r="C3" t="str">
        <f>Paste!C3</f>
        <v>Sulima Malzin</v>
      </c>
      <c r="D3" t="s">
        <v>45</v>
      </c>
      <c r="E3" t="str">
        <f>_xlfn.XLOOKUP(Paste!D3, Lists!A:A, Lists!B:B, "Unknown")</f>
        <v>Unknown</v>
      </c>
      <c r="F3" t="str">
        <f>Paste!E3</f>
        <v>Amazon.com</v>
      </c>
      <c r="G3">
        <f>Paste!H3</f>
        <v>1</v>
      </c>
      <c r="H3">
        <f>Paste!G3</f>
        <v>0</v>
      </c>
      <c r="I3">
        <f>IFERROR(VALUE(Paste!J3),0)</f>
        <v>0</v>
      </c>
      <c r="J3" s="4" t="str">
        <f>Paste!I3</f>
        <v>60%</v>
      </c>
      <c r="K3" s="5">
        <f>Paste!P3</f>
        <v>3.1</v>
      </c>
    </row>
    <row r="4" spans="1:11">
      <c r="A4" s="1" t="str">
        <f>Paste!A4</f>
        <v>2025-05</v>
      </c>
      <c r="B4" t="str">
        <f>Paste!B4</f>
        <v>Words That Dance</v>
      </c>
      <c r="C4" t="str">
        <f>Paste!C4</f>
        <v>Sulima Malzin</v>
      </c>
      <c r="D4" t="s">
        <v>42</v>
      </c>
      <c r="E4" t="str">
        <f>_xlfn.XLOOKUP(Paste!D4, Lists!A:A, Lists!B:B, "Unknown")</f>
        <v>Unknown</v>
      </c>
      <c r="F4" t="str">
        <f>Paste!E4</f>
        <v>Amazon.com</v>
      </c>
      <c r="G4">
        <f>Paste!H4</f>
        <v>1</v>
      </c>
      <c r="H4">
        <f>Paste!G4</f>
        <v>0</v>
      </c>
      <c r="I4">
        <f>IFERROR(VALUE(Paste!J4),0)</f>
        <v>0</v>
      </c>
      <c r="J4" s="4" t="str">
        <f>Paste!I4</f>
        <v>60%</v>
      </c>
      <c r="K4" s="5">
        <f>Paste!P4</f>
        <v>4.45</v>
      </c>
    </row>
    <row r="5" spans="1:11">
      <c r="A5" s="1" t="str">
        <f>Paste!A5</f>
        <v>2025-05</v>
      </c>
      <c r="B5" t="str">
        <f>Paste!B5</f>
        <v>All In The Soup Together</v>
      </c>
      <c r="C5" t="str">
        <f>Paste!C5</f>
        <v>Sulima Malzin</v>
      </c>
      <c r="D5" t="s">
        <v>41</v>
      </c>
      <c r="E5" t="str">
        <f>_xlfn.XLOOKUP(Paste!D5, Lists!A:A, Lists!B:B, "Unknown")</f>
        <v>Unknown</v>
      </c>
      <c r="F5" t="str">
        <f>Paste!E5</f>
        <v>Amazon.com</v>
      </c>
      <c r="G5">
        <f>Paste!H5</f>
        <v>1</v>
      </c>
      <c r="H5">
        <f>Paste!G5</f>
        <v>0</v>
      </c>
      <c r="I5">
        <f>IFERROR(VALUE(Paste!J5),0)</f>
        <v>0</v>
      </c>
      <c r="J5" s="4" t="str">
        <f>Paste!I5</f>
        <v>60%</v>
      </c>
      <c r="K5" s="5">
        <f>Paste!P5</f>
        <v>6.7</v>
      </c>
    </row>
    <row r="6" spans="1:11">
      <c r="A6" s="1" t="str">
        <f>Paste!A6</f>
        <v>2025-05</v>
      </c>
      <c r="B6" t="str">
        <f>Paste!B6</f>
        <v>Painting Celia</v>
      </c>
      <c r="C6" t="str">
        <f>Paste!C6</f>
        <v>Maya Bairey</v>
      </c>
      <c r="D6" t="s">
        <v>31</v>
      </c>
      <c r="E6" t="str">
        <f>_xlfn.XLOOKUP(Paste!D6, Lists!A:A, Lists!B:B, "Unknown")</f>
        <v>Unknown</v>
      </c>
      <c r="F6" t="str">
        <f>Paste!E6</f>
        <v>Amazon.it</v>
      </c>
      <c r="G6">
        <f>Paste!H6</f>
        <v>1</v>
      </c>
      <c r="H6">
        <f>Paste!G6</f>
        <v>0</v>
      </c>
      <c r="I6">
        <f>IFERROR(VALUE(Paste!J6),0)</f>
        <v>0</v>
      </c>
      <c r="J6" s="4" t="str">
        <f>Paste!I6</f>
        <v>60%</v>
      </c>
      <c r="K6" s="5">
        <f>Paste!P6</f>
        <v>2.79</v>
      </c>
    </row>
    <row r="7" spans="1:11">
      <c r="A7" s="1" t="str">
        <f>Paste!A7</f>
        <v>2025-05</v>
      </c>
      <c r="B7" t="str">
        <f>Paste!B7</f>
        <v>Painting Celia</v>
      </c>
      <c r="C7" t="str">
        <f>Paste!C7</f>
        <v>Maya Bairey</v>
      </c>
      <c r="D7" t="str">
        <f>Paste!D7</f>
        <v>B0D13JKQD6</v>
      </c>
      <c r="E7" t="str">
        <f>_xlfn.XLOOKUP(Paste!D7, Lists!A:A, Lists!B:B, "Unknown")</f>
        <v>Ebook</v>
      </c>
      <c r="F7" t="str">
        <f>Paste!E7</f>
        <v>Amazon.com.au</v>
      </c>
      <c r="G7">
        <f>Paste!H7</f>
        <v>1</v>
      </c>
      <c r="H7">
        <f>Paste!G7</f>
        <v>0</v>
      </c>
      <c r="I7">
        <f>IFERROR(VALUE(Paste!J7),0)</f>
        <v>0</v>
      </c>
      <c r="J7" s="4" t="str">
        <f>Paste!I7</f>
        <v>70%</v>
      </c>
      <c r="K7" s="5">
        <f>Paste!P7</f>
        <v>2.9</v>
      </c>
    </row>
    <row r="8" spans="1:11">
      <c r="A8" s="1" t="str">
        <f>Paste!A8</f>
        <v>2025-06</v>
      </c>
      <c r="B8" t="str">
        <f>Paste!B8</f>
        <v>Painting Celia</v>
      </c>
      <c r="C8" t="str">
        <f>Paste!C8</f>
        <v>Maya Bairey</v>
      </c>
      <c r="D8" t="str">
        <f>Paste!D8</f>
        <v>B0D13JKQD6</v>
      </c>
      <c r="E8" t="str">
        <f>_xlfn.XLOOKUP(Paste!D8, Lists!A:A, Lists!B:B, "Unknown")</f>
        <v>Ebook</v>
      </c>
      <c r="F8" t="str">
        <f>Paste!E8</f>
        <v>Amazon.com</v>
      </c>
      <c r="G8">
        <f>Paste!H8</f>
        <v>1</v>
      </c>
      <c r="H8">
        <f>Paste!G8</f>
        <v>0</v>
      </c>
      <c r="I8">
        <f>IFERROR(VALUE(Paste!J8),0)</f>
        <v>0</v>
      </c>
      <c r="J8" s="4" t="str">
        <f>Paste!I8</f>
        <v>35%</v>
      </c>
      <c r="K8" s="5">
        <f>Paste!P8</f>
        <v>1.05</v>
      </c>
    </row>
    <row r="9" spans="1:11">
      <c r="A9" s="1" t="str">
        <f>Paste!A9</f>
        <v>2025-06</v>
      </c>
      <c r="B9" t="str">
        <f>Paste!B9</f>
        <v>Arms Filled with Bittersweet</v>
      </c>
      <c r="C9" t="str">
        <f>Paste!C9</f>
        <v>Sulima Malzin</v>
      </c>
      <c r="D9" t="str">
        <f>Paste!D9</f>
        <v>B0C3S6XSR1</v>
      </c>
      <c r="E9" t="str">
        <f>_xlfn.XLOOKUP(Paste!D9, Lists!A:A, Lists!B:B, "Unknown")</f>
        <v>Ebook</v>
      </c>
      <c r="F9" t="str">
        <f>Paste!E9</f>
        <v>Amazon.com</v>
      </c>
      <c r="G9">
        <f>Paste!H9</f>
        <v>1</v>
      </c>
      <c r="H9">
        <v>0</v>
      </c>
      <c r="I9">
        <f>IFERROR(VALUE(Paste!J9),0)</f>
        <v>0</v>
      </c>
      <c r="J9" s="4" t="str">
        <f>Paste!I9</f>
        <v>70%</v>
      </c>
      <c r="K9" s="5">
        <f>Paste!P9</f>
        <v>2.04</v>
      </c>
    </row>
    <row r="10" spans="1:11">
      <c r="A10" s="1" t="str">
        <f>Paste!A10</f>
        <v>2025-06</v>
      </c>
      <c r="B10" t="str">
        <f>Paste!B10</f>
        <v>Arms Filled with Bittersweet</v>
      </c>
      <c r="C10" t="str">
        <f>Paste!C10</f>
        <v>Sulima Malzin</v>
      </c>
      <c r="D10" t="str">
        <f>Paste!D10</f>
        <v>B0C3S6XSR1</v>
      </c>
      <c r="E10" t="str">
        <f>_xlfn.XLOOKUP(Paste!D10, Lists!A:A, Lists!B:B, "Unknown")</f>
        <v>Ebook</v>
      </c>
      <c r="F10" t="str">
        <f>Paste!E10</f>
        <v>Amazon.com</v>
      </c>
      <c r="G10">
        <f>Paste!H10</f>
        <v>1</v>
      </c>
      <c r="H10">
        <v>0</v>
      </c>
      <c r="I10">
        <f>IFERROR(VALUE(Paste!J10),0)</f>
        <v>0</v>
      </c>
      <c r="J10" s="4" t="str">
        <f>Paste!I10</f>
        <v>N/A</v>
      </c>
      <c r="K10" s="5">
        <f>Paste!P10</f>
        <v>0</v>
      </c>
    </row>
    <row r="11" spans="1:11">
      <c r="A11" s="1" t="str">
        <f>Paste!A11</f>
        <v>2025-06</v>
      </c>
      <c r="B11" t="str">
        <f>Paste!B11</f>
        <v>Painting Celia</v>
      </c>
      <c r="C11" t="str">
        <f>Paste!C11</f>
        <v>Maya Bairey</v>
      </c>
      <c r="D11" t="str">
        <f>Paste!D11</f>
        <v>B0D13JKQD6</v>
      </c>
      <c r="E11" t="str">
        <f>_xlfn.XLOOKUP(Paste!D11, Lists!A:A, Lists!B:B, "Unknown")</f>
        <v>Ebook</v>
      </c>
      <c r="F11" t="str">
        <f>Paste!E11</f>
        <v>Amazon.com</v>
      </c>
      <c r="G11">
        <f>Paste!H11</f>
        <v>39</v>
      </c>
      <c r="H11">
        <v>0</v>
      </c>
      <c r="I11">
        <f>IFERROR(VALUE(Paste!J11),0)</f>
        <v>0</v>
      </c>
      <c r="J11" s="4" t="str">
        <f>Paste!I11</f>
        <v>N/A</v>
      </c>
      <c r="K11" s="5">
        <f>Paste!P11</f>
        <v>0.17</v>
      </c>
    </row>
    <row r="12" spans="1:11">
      <c r="A12" s="1" t="str">
        <f>Paste!A12</f>
        <v>2025-06</v>
      </c>
      <c r="B12" t="str">
        <f>Paste!B12</f>
        <v>Painting Celia</v>
      </c>
      <c r="C12" t="str">
        <f>Paste!C12</f>
        <v>Maya Bairey</v>
      </c>
      <c r="D12" t="str">
        <f>Paste!D12</f>
        <v>B0D13JKQD6</v>
      </c>
      <c r="E12" t="str">
        <f>_xlfn.XLOOKUP(Paste!D12, Lists!A:A, Lists!B:B, "Unknown")</f>
        <v>Ebook</v>
      </c>
      <c r="F12" t="str">
        <f>Paste!E12</f>
        <v>Amazon.ca</v>
      </c>
      <c r="G12">
        <f>Paste!H12</f>
        <v>1</v>
      </c>
      <c r="H12">
        <v>0</v>
      </c>
      <c r="I12">
        <f>IFERROR(VALUE(Paste!J12),0)</f>
        <v>0</v>
      </c>
      <c r="J12" s="4" t="str">
        <f>Paste!I12</f>
        <v>70%</v>
      </c>
      <c r="K12" s="5">
        <f>Paste!P12</f>
        <v>2.83</v>
      </c>
    </row>
    <row r="13" spans="1:11">
      <c r="A13" s="1" t="str">
        <f>Paste!A13</f>
        <v>2025-07</v>
      </c>
      <c r="B13" t="str">
        <f>Paste!B13</f>
        <v>Painting Celia</v>
      </c>
      <c r="C13" t="str">
        <f>Paste!C13</f>
        <v>Maya Bairey</v>
      </c>
      <c r="D13" t="str">
        <f>Paste!D13</f>
        <v>B0D13JKQD6</v>
      </c>
      <c r="E13" t="str">
        <f>_xlfn.XLOOKUP(Paste!D13, Lists!A:A, Lists!B:B, "Unknown")</f>
        <v>Ebook</v>
      </c>
      <c r="F13" t="str">
        <f>Paste!E13</f>
        <v>Amazon.com</v>
      </c>
      <c r="G13">
        <f>Paste!H13</f>
        <v>515</v>
      </c>
      <c r="H13">
        <v>0</v>
      </c>
      <c r="I13">
        <f>IFERROR(VALUE(Paste!J13),0)</f>
        <v>0</v>
      </c>
      <c r="J13" s="4" t="str">
        <f>Paste!I13</f>
        <v>N/A</v>
      </c>
      <c r="K13" s="5">
        <f>Paste!P13</f>
        <v>2.16</v>
      </c>
    </row>
    <row r="14" spans="1:11">
      <c r="A14" s="1" t="str">
        <f>Paste!A14</f>
        <v>2025-07</v>
      </c>
      <c r="B14" t="str">
        <f>Paste!B14</f>
        <v>Painting Celia</v>
      </c>
      <c r="C14" t="str">
        <f>Paste!C14</f>
        <v>Maya Bairey</v>
      </c>
      <c r="D14" t="s">
        <v>31</v>
      </c>
      <c r="E14" t="str">
        <f>_xlfn.XLOOKUP(Paste!D14, Lists!A:A, Lists!B:B, "Unknown")</f>
        <v>Unknown</v>
      </c>
      <c r="F14" t="str">
        <f>Paste!E14</f>
        <v>Amazon.com</v>
      </c>
      <c r="G14">
        <f>Paste!H14</f>
        <v>2</v>
      </c>
      <c r="H14">
        <v>0</v>
      </c>
      <c r="I14">
        <f>IFERROR(VALUE(Paste!J14),0)</f>
        <v>0</v>
      </c>
      <c r="J14" s="4" t="str">
        <f>Paste!I14</f>
        <v>60%</v>
      </c>
      <c r="K14" s="5">
        <f>Paste!P14</f>
        <v>3.1</v>
      </c>
    </row>
    <row r="15" spans="1:11">
      <c r="A15" s="1" t="str">
        <f>Paste!A15</f>
        <v>2025-07</v>
      </c>
      <c r="B15" t="str">
        <f>Paste!B15</f>
        <v>Painting Celia</v>
      </c>
      <c r="C15" t="str">
        <f>Paste!C15</f>
        <v>Maya Bairey</v>
      </c>
      <c r="D15" t="str">
        <f>Paste!D15</f>
        <v>B0D13JKQD6</v>
      </c>
      <c r="E15" t="str">
        <f>_xlfn.XLOOKUP(Paste!D15, Lists!A:A, Lists!B:B, "Unknown")</f>
        <v>Ebook</v>
      </c>
      <c r="F15" t="str">
        <f>Paste!E15</f>
        <v>Amazon.com.au</v>
      </c>
      <c r="G15">
        <f>Paste!H15</f>
        <v>108</v>
      </c>
      <c r="H15">
        <v>0</v>
      </c>
      <c r="I15">
        <f>IFERROR(VALUE(Paste!J15),0)</f>
        <v>0</v>
      </c>
      <c r="J15" s="4" t="str">
        <f>Paste!I15</f>
        <v>N/A</v>
      </c>
      <c r="K15" s="5">
        <f>Paste!P15</f>
        <v>0.39</v>
      </c>
    </row>
    <row r="17" spans="1:21">
      <c r="A17" s="1"/>
      <c r="J17" s="4"/>
      <c r="K17" s="5"/>
    </row>
    <row r="18" spans="1:21">
      <c r="A18" s="3" t="s">
        <v>17</v>
      </c>
      <c r="B18" s="3" t="s">
        <v>0</v>
      </c>
      <c r="C18" s="3" t="s">
        <v>1</v>
      </c>
      <c r="D18" s="3" t="s">
        <v>21</v>
      </c>
      <c r="E18" s="3" t="s">
        <v>19</v>
      </c>
      <c r="F18" s="3" t="s">
        <v>2</v>
      </c>
      <c r="G18" s="3" t="s">
        <v>3</v>
      </c>
      <c r="H18" s="3" t="s">
        <v>4</v>
      </c>
      <c r="I18" s="3" t="s">
        <v>18</v>
      </c>
      <c r="J18" s="3" t="s">
        <v>20</v>
      </c>
      <c r="K18" s="3" t="s">
        <v>8</v>
      </c>
    </row>
    <row r="19" spans="1:21">
      <c r="A19" s="1" t="str">
        <f>A2</f>
        <v>2025-05</v>
      </c>
      <c r="B19" t="str">
        <f>B2</f>
        <v>Painting Celia</v>
      </c>
      <c r="C19" t="str">
        <f>C2</f>
        <v>Maya Bairey</v>
      </c>
      <c r="D19" t="str">
        <f>D2</f>
        <v>B0D13JKQD6</v>
      </c>
      <c r="E19" t="s">
        <v>26</v>
      </c>
      <c r="F19" t="str">
        <f>F2</f>
        <v>Amazon.com</v>
      </c>
      <c r="G19">
        <f>G2</f>
        <v>551</v>
      </c>
      <c r="H19">
        <f>H2</f>
        <v>0</v>
      </c>
      <c r="I19" s="2">
        <f>Paste!J81</f>
        <v>0</v>
      </c>
      <c r="J19" s="5">
        <f>K2</f>
        <v>2.42</v>
      </c>
      <c r="K19" s="5">
        <f>J19</f>
        <v>2.42</v>
      </c>
      <c r="M19" s="1"/>
      <c r="U19" s="5"/>
    </row>
    <row r="20" spans="1:21">
      <c r="A20" s="1" t="str">
        <f t="shared" ref="A20:D20" si="0">A11</f>
        <v>2025-06</v>
      </c>
      <c r="B20" t="str">
        <f t="shared" si="0"/>
        <v>Painting Celia</v>
      </c>
      <c r="C20" t="str">
        <f t="shared" si="0"/>
        <v>Maya Bairey</v>
      </c>
      <c r="D20" t="str">
        <f t="shared" si="0"/>
        <v>B0D13JKQD6</v>
      </c>
      <c r="E20" t="s">
        <v>26</v>
      </c>
      <c r="F20" t="str">
        <f t="shared" ref="F20:H20" si="1">F11</f>
        <v>Amazon.com</v>
      </c>
      <c r="G20">
        <f t="shared" si="1"/>
        <v>39</v>
      </c>
      <c r="H20">
        <f t="shared" si="1"/>
        <v>0</v>
      </c>
      <c r="I20" s="2">
        <f>Paste!J90</f>
        <v>0</v>
      </c>
      <c r="J20" s="5">
        <f>K11</f>
        <v>0.17</v>
      </c>
      <c r="K20" s="5">
        <f>J20</f>
        <v>0.17</v>
      </c>
      <c r="M20" s="1"/>
      <c r="U20" s="5"/>
    </row>
    <row r="21" spans="1:21">
      <c r="A21" s="1" t="str">
        <f t="shared" ref="A21:D21" si="2">A13</f>
        <v>2025-07</v>
      </c>
      <c r="B21" t="str">
        <f t="shared" si="2"/>
        <v>Painting Celia</v>
      </c>
      <c r="C21" t="str">
        <f t="shared" si="2"/>
        <v>Maya Bairey</v>
      </c>
      <c r="D21" t="str">
        <f t="shared" si="2"/>
        <v>B0D13JKQD6</v>
      </c>
      <c r="E21" t="s">
        <v>26</v>
      </c>
      <c r="F21" t="str">
        <f t="shared" ref="F21:H21" si="3">F13</f>
        <v>Amazon.com</v>
      </c>
      <c r="G21">
        <f t="shared" si="3"/>
        <v>515</v>
      </c>
      <c r="H21">
        <f t="shared" si="3"/>
        <v>0</v>
      </c>
      <c r="I21" s="2">
        <f>Paste!J92</f>
        <v>0</v>
      </c>
      <c r="J21" s="5">
        <f>K13</f>
        <v>2.16</v>
      </c>
      <c r="K21" s="5">
        <f>J21</f>
        <v>2.16</v>
      </c>
      <c r="M21" s="1"/>
      <c r="U21" s="5"/>
    </row>
    <row r="22" spans="1:21">
      <c r="A22" s="1" t="str">
        <f t="shared" ref="A22:D22" si="4">A15</f>
        <v>2025-07</v>
      </c>
      <c r="B22" t="str">
        <f t="shared" si="4"/>
        <v>Painting Celia</v>
      </c>
      <c r="C22" t="str">
        <f t="shared" si="4"/>
        <v>Maya Bairey</v>
      </c>
      <c r="D22" t="str">
        <f t="shared" si="4"/>
        <v>B0D13JKQD6</v>
      </c>
      <c r="E22" t="s">
        <v>26</v>
      </c>
      <c r="F22" t="str">
        <f t="shared" ref="F22:H22" si="5">F15</f>
        <v>Amazon.com.au</v>
      </c>
      <c r="G22">
        <f t="shared" si="5"/>
        <v>108</v>
      </c>
      <c r="H22">
        <f t="shared" si="5"/>
        <v>0</v>
      </c>
      <c r="I22" s="2">
        <f>Paste!J94</f>
        <v>0</v>
      </c>
      <c r="J22" s="5">
        <f>K15</f>
        <v>0.39</v>
      </c>
      <c r="K22" s="5">
        <f>J22</f>
        <v>0.39</v>
      </c>
      <c r="M22" s="1"/>
      <c r="U22" s="5"/>
    </row>
    <row r="23" spans="1:21">
      <c r="A23" s="1"/>
      <c r="J23" s="2"/>
    </row>
    <row r="24" spans="1:21">
      <c r="A24" s="1"/>
      <c r="J24" s="2"/>
      <c r="Q24" s="5"/>
    </row>
    <row r="25" spans="1:21">
      <c r="A25" s="1"/>
      <c r="J25" s="2"/>
    </row>
    <row r="26" spans="1:21">
      <c r="A26" s="1"/>
      <c r="J26" s="4"/>
      <c r="K26" s="5"/>
    </row>
    <row r="27" spans="1:21">
      <c r="A27" s="1"/>
      <c r="J27" s="4"/>
      <c r="K27" s="5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229D-679E-448E-A3CF-0FDFAEAE14D3}">
  <dimension ref="A1:Q118"/>
  <sheetViews>
    <sheetView workbookViewId="0">
      <selection activeCell="I8" sqref="I8"/>
    </sheetView>
  </sheetViews>
  <sheetFormatPr defaultRowHeight="15"/>
  <cols>
    <col min="1" max="1" width="9.42578125" bestFit="1" customWidth="1"/>
    <col min="2" max="2" width="25.5703125" bestFit="1" customWidth="1"/>
    <col min="3" max="3" width="13.5703125" bestFit="1" customWidth="1"/>
    <col min="4" max="4" width="15.5703125" customWidth="1"/>
    <col min="5" max="5" width="15.85546875" bestFit="1" customWidth="1"/>
    <col min="6" max="6" width="12.28515625" bestFit="1" customWidth="1"/>
    <col min="7" max="7" width="15.5703125" bestFit="1" customWidth="1"/>
    <col min="8" max="8" width="12.5703125" customWidth="1"/>
    <col min="9" max="9" width="11.7109375" bestFit="1" customWidth="1"/>
    <col min="10" max="10" width="16.140625" bestFit="1" customWidth="1"/>
    <col min="12" max="12" width="23.28515625" bestFit="1" customWidth="1"/>
    <col min="13" max="13" width="24.5703125" bestFit="1" customWidth="1"/>
    <col min="14" max="14" width="16.7109375" bestFit="1" customWidth="1"/>
    <col min="15" max="15" width="16.28515625" bestFit="1" customWidth="1"/>
    <col min="16" max="16" width="7.28515625" bestFit="1" customWidth="1"/>
  </cols>
  <sheetData>
    <row r="1" spans="1:17">
      <c r="A1" t="s">
        <v>139</v>
      </c>
      <c r="B1" s="79" t="s">
        <v>0</v>
      </c>
      <c r="C1" s="79" t="s">
        <v>1</v>
      </c>
      <c r="D1" s="79" t="s">
        <v>135</v>
      </c>
      <c r="E1" s="79" t="s">
        <v>2</v>
      </c>
      <c r="F1" s="79" t="s">
        <v>3</v>
      </c>
      <c r="G1" s="79" t="s">
        <v>4</v>
      </c>
      <c r="H1" s="79" t="s">
        <v>136</v>
      </c>
      <c r="I1" s="79" t="s">
        <v>5</v>
      </c>
      <c r="J1" s="79" t="s">
        <v>137</v>
      </c>
      <c r="K1" s="79" t="s">
        <v>112</v>
      </c>
      <c r="L1" s="79" t="s">
        <v>6</v>
      </c>
      <c r="M1" s="79" t="s">
        <v>7</v>
      </c>
      <c r="N1" s="79" t="s">
        <v>113</v>
      </c>
      <c r="O1" s="79" t="s">
        <v>138</v>
      </c>
      <c r="P1" s="79" t="s">
        <v>8</v>
      </c>
      <c r="Q1" s="79"/>
    </row>
    <row r="2" spans="1:17">
      <c r="A2" s="73" t="s">
        <v>132</v>
      </c>
      <c r="B2" s="77" t="s">
        <v>9</v>
      </c>
      <c r="C2" s="77" t="s">
        <v>10</v>
      </c>
      <c r="D2" s="77" t="s">
        <v>11</v>
      </c>
      <c r="E2" s="78" t="s">
        <v>12</v>
      </c>
      <c r="F2" s="78" t="s">
        <v>14</v>
      </c>
      <c r="G2" s="78" t="s">
        <v>14</v>
      </c>
      <c r="H2" s="78">
        <v>551</v>
      </c>
      <c r="I2" s="77" t="s">
        <v>14</v>
      </c>
      <c r="J2" s="77" t="s">
        <v>15</v>
      </c>
      <c r="K2" s="77" t="s">
        <v>114</v>
      </c>
      <c r="L2" s="77" t="s">
        <v>14</v>
      </c>
      <c r="M2" s="77" t="s">
        <v>14</v>
      </c>
      <c r="N2" s="77" t="s">
        <v>14</v>
      </c>
      <c r="O2" s="77" t="s">
        <v>14</v>
      </c>
      <c r="P2" s="77">
        <v>2.42</v>
      </c>
      <c r="Q2" s="77"/>
    </row>
    <row r="3" spans="1:17">
      <c r="A3" s="73" t="s">
        <v>132</v>
      </c>
      <c r="B3" s="77" t="s">
        <v>55</v>
      </c>
      <c r="C3" s="77" t="s">
        <v>36</v>
      </c>
      <c r="D3" s="77" t="s">
        <v>126</v>
      </c>
      <c r="E3" s="78" t="s">
        <v>12</v>
      </c>
      <c r="F3" s="78">
        <v>1</v>
      </c>
      <c r="G3" s="78">
        <v>0</v>
      </c>
      <c r="H3" s="78">
        <v>1</v>
      </c>
      <c r="I3" s="77" t="s">
        <v>127</v>
      </c>
      <c r="J3" s="77" t="s">
        <v>67</v>
      </c>
      <c r="K3" s="77" t="s">
        <v>114</v>
      </c>
      <c r="L3" s="77">
        <v>9</v>
      </c>
      <c r="M3" s="77">
        <v>9</v>
      </c>
      <c r="N3" s="77" t="s">
        <v>14</v>
      </c>
      <c r="O3" s="77">
        <v>2.2999999999999998</v>
      </c>
      <c r="P3" s="77">
        <v>3.1</v>
      </c>
      <c r="Q3" s="77"/>
    </row>
    <row r="4" spans="1:17">
      <c r="A4" s="73" t="s">
        <v>132</v>
      </c>
      <c r="B4" s="77" t="s">
        <v>43</v>
      </c>
      <c r="C4" s="77" t="s">
        <v>36</v>
      </c>
      <c r="D4" s="77" t="s">
        <v>128</v>
      </c>
      <c r="E4" s="78" t="s">
        <v>12</v>
      </c>
      <c r="F4" s="78">
        <v>1</v>
      </c>
      <c r="G4" s="78">
        <v>0</v>
      </c>
      <c r="H4" s="78">
        <v>1</v>
      </c>
      <c r="I4" s="77" t="s">
        <v>127</v>
      </c>
      <c r="J4" s="77" t="s">
        <v>67</v>
      </c>
      <c r="K4" s="77" t="s">
        <v>114</v>
      </c>
      <c r="L4" s="77">
        <v>11.25</v>
      </c>
      <c r="M4" s="77">
        <v>11.25</v>
      </c>
      <c r="N4" s="77" t="s">
        <v>14</v>
      </c>
      <c r="O4" s="77">
        <v>2.2999999999999998</v>
      </c>
      <c r="P4" s="77">
        <v>4.45</v>
      </c>
      <c r="Q4" s="77"/>
    </row>
    <row r="5" spans="1:17">
      <c r="A5" s="73" t="s">
        <v>132</v>
      </c>
      <c r="B5" s="77" t="s">
        <v>40</v>
      </c>
      <c r="C5" s="77" t="s">
        <v>36</v>
      </c>
      <c r="D5" s="77" t="s">
        <v>129</v>
      </c>
      <c r="E5" s="78" t="s">
        <v>12</v>
      </c>
      <c r="F5" s="78">
        <v>1</v>
      </c>
      <c r="G5" s="78">
        <v>0</v>
      </c>
      <c r="H5" s="78">
        <v>1</v>
      </c>
      <c r="I5" s="77" t="s">
        <v>127</v>
      </c>
      <c r="J5" s="77" t="s">
        <v>67</v>
      </c>
      <c r="K5" s="77" t="s">
        <v>114</v>
      </c>
      <c r="L5" s="77">
        <v>15</v>
      </c>
      <c r="M5" s="77">
        <v>15</v>
      </c>
      <c r="N5" s="77" t="s">
        <v>14</v>
      </c>
      <c r="O5" s="77">
        <v>2.2999999999999998</v>
      </c>
      <c r="P5" s="77">
        <v>6.7</v>
      </c>
      <c r="Q5" s="77"/>
    </row>
    <row r="6" spans="1:17">
      <c r="A6" s="73" t="s">
        <v>132</v>
      </c>
      <c r="B6" s="77" t="s">
        <v>9</v>
      </c>
      <c r="C6" s="77" t="s">
        <v>10</v>
      </c>
      <c r="D6" s="77" t="s">
        <v>130</v>
      </c>
      <c r="E6" s="78" t="s">
        <v>118</v>
      </c>
      <c r="F6" s="78">
        <v>1</v>
      </c>
      <c r="G6" s="78">
        <v>0</v>
      </c>
      <c r="H6" s="78">
        <v>1</v>
      </c>
      <c r="I6" s="77" t="s">
        <v>127</v>
      </c>
      <c r="J6" s="77" t="s">
        <v>67</v>
      </c>
      <c r="K6" s="77" t="s">
        <v>117</v>
      </c>
      <c r="L6" s="77">
        <v>12.37</v>
      </c>
      <c r="M6" s="77">
        <v>12.37</v>
      </c>
      <c r="N6" s="77" t="s">
        <v>14</v>
      </c>
      <c r="O6" s="77">
        <v>4.63</v>
      </c>
      <c r="P6" s="77">
        <v>2.79</v>
      </c>
      <c r="Q6" s="77"/>
    </row>
    <row r="7" spans="1:17">
      <c r="A7" s="73" t="s">
        <v>132</v>
      </c>
      <c r="B7" s="77" t="s">
        <v>9</v>
      </c>
      <c r="C7" s="77" t="s">
        <v>10</v>
      </c>
      <c r="D7" s="77" t="s">
        <v>11</v>
      </c>
      <c r="E7" s="78" t="s">
        <v>59</v>
      </c>
      <c r="F7" s="78">
        <v>1</v>
      </c>
      <c r="G7" s="78">
        <v>0</v>
      </c>
      <c r="H7" s="78">
        <v>1</v>
      </c>
      <c r="I7" s="77" t="s">
        <v>131</v>
      </c>
      <c r="J7" s="77" t="s">
        <v>13</v>
      </c>
      <c r="K7" s="77" t="s">
        <v>115</v>
      </c>
      <c r="L7" s="77">
        <v>4.25</v>
      </c>
      <c r="M7" s="77">
        <v>4.25</v>
      </c>
      <c r="N7" s="77">
        <v>0.67</v>
      </c>
      <c r="O7" s="77">
        <v>0.1</v>
      </c>
      <c r="P7" s="77">
        <v>2.9</v>
      </c>
      <c r="Q7" s="77"/>
    </row>
    <row r="8" spans="1:17">
      <c r="A8" s="73" t="s">
        <v>133</v>
      </c>
      <c r="B8" s="77" t="s">
        <v>9</v>
      </c>
      <c r="C8" s="77" t="s">
        <v>10</v>
      </c>
      <c r="D8" s="77" t="s">
        <v>11</v>
      </c>
      <c r="E8" s="78" t="s">
        <v>12</v>
      </c>
      <c r="F8" s="78">
        <v>1</v>
      </c>
      <c r="G8" s="78">
        <v>0</v>
      </c>
      <c r="H8" s="78">
        <v>1</v>
      </c>
      <c r="I8" s="77" t="s">
        <v>140</v>
      </c>
      <c r="J8" s="77" t="s">
        <v>13</v>
      </c>
      <c r="K8" s="77" t="s">
        <v>114</v>
      </c>
      <c r="L8" s="77">
        <v>2.99</v>
      </c>
      <c r="M8" s="77">
        <v>2.99</v>
      </c>
      <c r="N8" s="77">
        <v>0.67</v>
      </c>
      <c r="O8" s="77" t="s">
        <v>14</v>
      </c>
      <c r="P8" s="77">
        <v>1.05</v>
      </c>
    </row>
    <row r="9" spans="1:17">
      <c r="A9" s="73" t="s">
        <v>133</v>
      </c>
      <c r="B9" s="77" t="s">
        <v>35</v>
      </c>
      <c r="C9" s="77" t="s">
        <v>36</v>
      </c>
      <c r="D9" s="77" t="s">
        <v>34</v>
      </c>
      <c r="E9" s="78" t="s">
        <v>12</v>
      </c>
      <c r="F9" s="78">
        <v>1</v>
      </c>
      <c r="G9" s="78">
        <v>0</v>
      </c>
      <c r="H9" s="78">
        <v>1</v>
      </c>
      <c r="I9" s="77" t="s">
        <v>131</v>
      </c>
      <c r="J9" s="77" t="s">
        <v>13</v>
      </c>
      <c r="K9" s="77" t="s">
        <v>114</v>
      </c>
      <c r="L9" s="77">
        <v>2.99</v>
      </c>
      <c r="M9" s="77">
        <v>2.99</v>
      </c>
      <c r="N9" s="77">
        <v>0.5</v>
      </c>
      <c r="O9" s="77">
        <v>7.0000000000000007E-2</v>
      </c>
      <c r="P9" s="77">
        <v>2.04</v>
      </c>
    </row>
    <row r="10" spans="1:17">
      <c r="A10" s="73" t="s">
        <v>133</v>
      </c>
      <c r="B10" s="77" t="s">
        <v>35</v>
      </c>
      <c r="C10" s="77" t="s">
        <v>36</v>
      </c>
      <c r="D10" s="77" t="s">
        <v>34</v>
      </c>
      <c r="E10" s="78" t="s">
        <v>12</v>
      </c>
      <c r="F10" s="78" t="s">
        <v>14</v>
      </c>
      <c r="G10" s="78" t="s">
        <v>14</v>
      </c>
      <c r="H10" s="78">
        <v>1</v>
      </c>
      <c r="I10" s="77" t="s">
        <v>14</v>
      </c>
      <c r="J10" s="77" t="s">
        <v>15</v>
      </c>
      <c r="K10" s="77" t="s">
        <v>114</v>
      </c>
      <c r="L10" s="77" t="s">
        <v>14</v>
      </c>
      <c r="M10" s="77" t="s">
        <v>14</v>
      </c>
      <c r="N10" s="77" t="s">
        <v>14</v>
      </c>
      <c r="O10" s="77" t="s">
        <v>14</v>
      </c>
      <c r="P10" s="77">
        <v>0</v>
      </c>
    </row>
    <row r="11" spans="1:17">
      <c r="A11" s="73" t="s">
        <v>133</v>
      </c>
      <c r="B11" s="77" t="s">
        <v>9</v>
      </c>
      <c r="C11" s="77" t="s">
        <v>10</v>
      </c>
      <c r="D11" s="77" t="s">
        <v>11</v>
      </c>
      <c r="E11" s="78" t="s">
        <v>12</v>
      </c>
      <c r="F11" s="78" t="s">
        <v>14</v>
      </c>
      <c r="G11" s="78" t="s">
        <v>14</v>
      </c>
      <c r="H11" s="78">
        <v>39</v>
      </c>
      <c r="I11" s="77" t="s">
        <v>14</v>
      </c>
      <c r="J11" s="77" t="s">
        <v>15</v>
      </c>
      <c r="K11" s="77" t="s">
        <v>114</v>
      </c>
      <c r="L11" s="77" t="s">
        <v>14</v>
      </c>
      <c r="M11" s="77" t="s">
        <v>14</v>
      </c>
      <c r="N11" s="77" t="s">
        <v>14</v>
      </c>
      <c r="O11" s="77" t="s">
        <v>14</v>
      </c>
      <c r="P11" s="77">
        <v>0.17</v>
      </c>
    </row>
    <row r="12" spans="1:17">
      <c r="A12" s="73" t="s">
        <v>133</v>
      </c>
      <c r="B12" s="77" t="s">
        <v>9</v>
      </c>
      <c r="C12" s="77" t="s">
        <v>10</v>
      </c>
      <c r="D12" s="77" t="s">
        <v>11</v>
      </c>
      <c r="E12" s="78" t="s">
        <v>16</v>
      </c>
      <c r="F12" s="78">
        <v>1</v>
      </c>
      <c r="G12" s="78">
        <v>0</v>
      </c>
      <c r="H12" s="78">
        <v>1</v>
      </c>
      <c r="I12" s="77" t="s">
        <v>131</v>
      </c>
      <c r="J12" s="77" t="s">
        <v>13</v>
      </c>
      <c r="K12" s="77" t="s">
        <v>119</v>
      </c>
      <c r="L12" s="77">
        <v>4.1399999999999997</v>
      </c>
      <c r="M12" s="77">
        <v>4.1399999999999997</v>
      </c>
      <c r="N12" s="77">
        <v>0.67</v>
      </c>
      <c r="O12" s="77">
        <v>0.1</v>
      </c>
      <c r="P12" s="77">
        <v>2.83</v>
      </c>
    </row>
    <row r="13" spans="1:17">
      <c r="A13" s="73" t="s">
        <v>134</v>
      </c>
      <c r="B13" s="77" t="s">
        <v>9</v>
      </c>
      <c r="C13" s="77" t="s">
        <v>10</v>
      </c>
      <c r="D13" s="77" t="s">
        <v>11</v>
      </c>
      <c r="E13" s="78" t="s">
        <v>12</v>
      </c>
      <c r="F13" s="78" t="s">
        <v>14</v>
      </c>
      <c r="G13" s="78" t="s">
        <v>14</v>
      </c>
      <c r="H13" s="78">
        <v>515</v>
      </c>
      <c r="I13" s="77" t="s">
        <v>14</v>
      </c>
      <c r="J13" s="77" t="s">
        <v>15</v>
      </c>
      <c r="K13" s="77" t="s">
        <v>114</v>
      </c>
      <c r="L13" s="77" t="s">
        <v>14</v>
      </c>
      <c r="M13" s="77" t="s">
        <v>14</v>
      </c>
      <c r="N13" s="77" t="s">
        <v>14</v>
      </c>
      <c r="O13" s="77" t="s">
        <v>14</v>
      </c>
      <c r="P13" s="77">
        <v>2.16</v>
      </c>
    </row>
    <row r="14" spans="1:17">
      <c r="A14" s="73" t="s">
        <v>134</v>
      </c>
      <c r="B14" s="77" t="s">
        <v>9</v>
      </c>
      <c r="C14" s="77" t="s">
        <v>10</v>
      </c>
      <c r="D14" s="77" t="s">
        <v>141</v>
      </c>
      <c r="E14" s="78" t="s">
        <v>12</v>
      </c>
      <c r="F14" s="78">
        <v>2</v>
      </c>
      <c r="G14" s="78">
        <v>0</v>
      </c>
      <c r="H14" s="78">
        <v>2</v>
      </c>
      <c r="I14" s="77" t="s">
        <v>127</v>
      </c>
      <c r="J14" s="77" t="s">
        <v>142</v>
      </c>
      <c r="K14" s="77" t="s">
        <v>114</v>
      </c>
      <c r="L14" s="77">
        <v>16.989999999999998</v>
      </c>
      <c r="M14" s="77">
        <v>16.989999999999998</v>
      </c>
      <c r="N14" s="77" t="s">
        <v>14</v>
      </c>
      <c r="O14" s="77">
        <v>8.64</v>
      </c>
      <c r="P14" s="77">
        <v>3.1</v>
      </c>
    </row>
    <row r="15" spans="1:17">
      <c r="A15" s="73" t="s">
        <v>134</v>
      </c>
      <c r="B15" s="77" t="s">
        <v>9</v>
      </c>
      <c r="C15" s="77" t="s">
        <v>10</v>
      </c>
      <c r="D15" s="77" t="s">
        <v>11</v>
      </c>
      <c r="E15" s="78" t="s">
        <v>59</v>
      </c>
      <c r="F15" s="78" t="s">
        <v>14</v>
      </c>
      <c r="G15" s="78" t="s">
        <v>14</v>
      </c>
      <c r="H15" s="78">
        <v>108</v>
      </c>
      <c r="I15" s="77" t="s">
        <v>14</v>
      </c>
      <c r="J15" s="77" t="s">
        <v>15</v>
      </c>
      <c r="K15" s="77" t="s">
        <v>115</v>
      </c>
      <c r="L15" s="77" t="s">
        <v>14</v>
      </c>
      <c r="M15" s="77" t="s">
        <v>14</v>
      </c>
      <c r="N15" s="77" t="s">
        <v>14</v>
      </c>
      <c r="O15" s="77" t="s">
        <v>14</v>
      </c>
      <c r="P15" s="77">
        <v>0.39</v>
      </c>
    </row>
    <row r="16" spans="1:17">
      <c r="A16" s="73"/>
      <c r="F16" s="74"/>
      <c r="H16" s="74"/>
      <c r="I16" s="2"/>
    </row>
    <row r="17" spans="1:9">
      <c r="A17" s="73"/>
      <c r="F17" s="74"/>
      <c r="H17" s="74"/>
      <c r="I17" s="2"/>
    </row>
    <row r="18" spans="1:9">
      <c r="A18" s="73"/>
      <c r="F18" s="74"/>
      <c r="H18" s="74"/>
      <c r="I18" s="2"/>
    </row>
    <row r="19" spans="1:9">
      <c r="A19" s="73"/>
      <c r="F19" s="74"/>
      <c r="H19" s="74"/>
      <c r="I19" s="2"/>
    </row>
    <row r="20" spans="1:9">
      <c r="A20" s="73"/>
      <c r="F20" s="74"/>
      <c r="H20" s="74"/>
      <c r="I20" s="2"/>
    </row>
    <row r="21" spans="1:9">
      <c r="A21" s="73"/>
      <c r="F21" s="74"/>
      <c r="H21" s="74"/>
      <c r="I21" s="2"/>
    </row>
    <row r="22" spans="1:9">
      <c r="A22" s="73"/>
      <c r="F22" s="74"/>
      <c r="H22" s="74"/>
      <c r="I22" s="2"/>
    </row>
    <row r="23" spans="1:9">
      <c r="A23" s="73"/>
      <c r="F23" s="74"/>
      <c r="H23" s="74"/>
      <c r="I23" s="2"/>
    </row>
    <row r="24" spans="1:9">
      <c r="A24" s="73"/>
      <c r="F24" s="74"/>
      <c r="H24" s="74"/>
      <c r="I24" s="2"/>
    </row>
    <row r="31" spans="1:9">
      <c r="F31" s="2"/>
    </row>
    <row r="32" spans="1:9">
      <c r="F32" s="2"/>
    </row>
    <row r="33" spans="6:6">
      <c r="F33" s="2"/>
    </row>
    <row r="34" spans="6:6">
      <c r="F34" s="2"/>
    </row>
    <row r="35" spans="6:6">
      <c r="F35" s="2"/>
    </row>
    <row r="36" spans="6:6">
      <c r="F36" s="2"/>
    </row>
    <row r="37" spans="6:6">
      <c r="F37" s="2"/>
    </row>
    <row r="38" spans="6:6">
      <c r="F38" s="2"/>
    </row>
    <row r="39" spans="6:6">
      <c r="F39" s="2"/>
    </row>
    <row r="40" spans="6:6">
      <c r="F40" s="2"/>
    </row>
    <row r="41" spans="6:6">
      <c r="F41" s="2"/>
    </row>
    <row r="42" spans="6:6">
      <c r="F42" s="2"/>
    </row>
    <row r="43" spans="6:6">
      <c r="F43" s="2"/>
    </row>
    <row r="44" spans="6:6">
      <c r="F44" s="2"/>
    </row>
    <row r="45" spans="6:6">
      <c r="F45" s="2"/>
    </row>
    <row r="46" spans="6:6">
      <c r="F46" s="2"/>
    </row>
    <row r="47" spans="6:6">
      <c r="F47" s="2"/>
    </row>
    <row r="48" spans="6:6">
      <c r="F48" s="2"/>
    </row>
    <row r="49" spans="6:6">
      <c r="F49" s="2"/>
    </row>
    <row r="50" spans="6:6">
      <c r="F50" s="2"/>
    </row>
    <row r="51" spans="6:6">
      <c r="F51" s="2"/>
    </row>
    <row r="52" spans="6:6">
      <c r="F52" s="2"/>
    </row>
    <row r="53" spans="6:6">
      <c r="F53" s="2"/>
    </row>
    <row r="54" spans="6:6">
      <c r="F54" s="2"/>
    </row>
    <row r="55" spans="6:6">
      <c r="F55" s="2"/>
    </row>
    <row r="56" spans="6:6">
      <c r="F56" s="2"/>
    </row>
    <row r="57" spans="6:6">
      <c r="F57" s="2"/>
    </row>
    <row r="58" spans="6:6">
      <c r="F58" s="2"/>
    </row>
    <row r="59" spans="6:6">
      <c r="F59" s="2"/>
    </row>
    <row r="60" spans="6:6">
      <c r="F60" s="2"/>
    </row>
    <row r="61" spans="6:6">
      <c r="F61" s="2"/>
    </row>
    <row r="62" spans="6:6">
      <c r="F62" s="2"/>
    </row>
    <row r="63" spans="6:6">
      <c r="F63" s="2"/>
    </row>
    <row r="64" spans="6:6">
      <c r="F64" s="2"/>
    </row>
    <row r="65" spans="1:11">
      <c r="F65" s="2"/>
    </row>
    <row r="66" spans="1:11">
      <c r="F66" s="2"/>
    </row>
    <row r="67" spans="1:11">
      <c r="F67" s="2"/>
    </row>
    <row r="68" spans="1:11">
      <c r="F68" s="2"/>
    </row>
    <row r="69" spans="1:11">
      <c r="F69" s="2"/>
    </row>
    <row r="70" spans="1:11">
      <c r="F70" s="2"/>
    </row>
    <row r="71" spans="1:11">
      <c r="F71" s="2"/>
    </row>
    <row r="72" spans="1:11">
      <c r="F72" s="2"/>
    </row>
    <row r="73" spans="1:11">
      <c r="F73" s="2"/>
    </row>
    <row r="74" spans="1:11">
      <c r="F74" s="2"/>
    </row>
    <row r="75" spans="1:11">
      <c r="F75" s="2"/>
    </row>
    <row r="76" spans="1:11">
      <c r="F76" s="2"/>
    </row>
    <row r="79" spans="1:11">
      <c r="A79" t="s">
        <v>26</v>
      </c>
    </row>
    <row r="80" spans="1:11">
      <c r="A80" s="1" t="s">
        <v>17</v>
      </c>
      <c r="B80" s="1" t="s">
        <v>0</v>
      </c>
      <c r="C80" s="1" t="s">
        <v>64</v>
      </c>
      <c r="D80" s="1" t="s">
        <v>72</v>
      </c>
      <c r="E80" s="1" t="s">
        <v>73</v>
      </c>
      <c r="F80" s="1" t="s">
        <v>74</v>
      </c>
      <c r="G80" s="1" t="s">
        <v>2</v>
      </c>
      <c r="H80" s="1" t="s">
        <v>26</v>
      </c>
      <c r="I80" s="1" t="s">
        <v>77</v>
      </c>
      <c r="J80" s="1" t="s">
        <v>30</v>
      </c>
      <c r="K80" s="1" t="s">
        <v>76</v>
      </c>
    </row>
    <row r="81" spans="1:11">
      <c r="A81" s="72">
        <v>45770</v>
      </c>
      <c r="B81" t="s">
        <v>9</v>
      </c>
      <c r="C81" t="s">
        <v>10</v>
      </c>
      <c r="D81" t="s">
        <v>11</v>
      </c>
      <c r="E81" t="s">
        <v>14</v>
      </c>
      <c r="F81" t="s">
        <v>14</v>
      </c>
      <c r="G81" t="s">
        <v>12</v>
      </c>
      <c r="H81">
        <v>7</v>
      </c>
      <c r="I81">
        <v>0</v>
      </c>
      <c r="J81" s="4">
        <v>0</v>
      </c>
      <c r="K81" s="5">
        <f t="shared" ref="K81:K93" si="0">H81*0.00475</f>
        <v>3.3250000000000002E-2</v>
      </c>
    </row>
    <row r="82" spans="1:11">
      <c r="A82" s="72">
        <v>45768</v>
      </c>
      <c r="B82" t="s">
        <v>9</v>
      </c>
      <c r="C82" t="s">
        <v>10</v>
      </c>
      <c r="D82" t="s">
        <v>11</v>
      </c>
      <c r="E82" t="s">
        <v>14</v>
      </c>
      <c r="F82" t="s">
        <v>14</v>
      </c>
      <c r="G82" t="s">
        <v>12</v>
      </c>
      <c r="H82">
        <v>1</v>
      </c>
      <c r="I82">
        <v>0</v>
      </c>
      <c r="J82" s="4">
        <v>0</v>
      </c>
      <c r="K82" s="5">
        <f t="shared" si="0"/>
        <v>4.7499999999999999E-3</v>
      </c>
    </row>
    <row r="83" spans="1:11">
      <c r="A83" s="72">
        <v>45767</v>
      </c>
      <c r="B83" t="s">
        <v>9</v>
      </c>
      <c r="C83" t="s">
        <v>10</v>
      </c>
      <c r="D83" t="s">
        <v>11</v>
      </c>
      <c r="E83" t="s">
        <v>14</v>
      </c>
      <c r="F83" t="s">
        <v>14</v>
      </c>
      <c r="G83" t="s">
        <v>12</v>
      </c>
      <c r="H83">
        <v>2</v>
      </c>
      <c r="I83">
        <v>0</v>
      </c>
      <c r="J83" s="4">
        <v>0</v>
      </c>
      <c r="K83" s="5">
        <f t="shared" si="0"/>
        <v>9.4999999999999998E-3</v>
      </c>
    </row>
    <row r="84" spans="1:11">
      <c r="A84" s="72">
        <v>45765</v>
      </c>
      <c r="B84" t="s">
        <v>9</v>
      </c>
      <c r="C84" t="s">
        <v>10</v>
      </c>
      <c r="D84" t="s">
        <v>11</v>
      </c>
      <c r="E84" t="s">
        <v>14</v>
      </c>
      <c r="F84" t="s">
        <v>14</v>
      </c>
      <c r="G84" t="s">
        <v>12</v>
      </c>
      <c r="H84">
        <v>19</v>
      </c>
      <c r="I84">
        <v>0</v>
      </c>
      <c r="J84" s="4">
        <v>0</v>
      </c>
      <c r="K84" s="5">
        <f t="shared" si="0"/>
        <v>9.0249999999999997E-2</v>
      </c>
    </row>
    <row r="85" spans="1:11">
      <c r="A85" s="72">
        <v>45764</v>
      </c>
      <c r="B85" t="s">
        <v>9</v>
      </c>
      <c r="C85" t="s">
        <v>10</v>
      </c>
      <c r="D85" t="s">
        <v>11</v>
      </c>
      <c r="E85" t="s">
        <v>14</v>
      </c>
      <c r="F85" t="s">
        <v>14</v>
      </c>
      <c r="G85" t="s">
        <v>12</v>
      </c>
      <c r="H85">
        <v>38</v>
      </c>
      <c r="I85">
        <v>0</v>
      </c>
      <c r="J85" s="4">
        <v>0</v>
      </c>
      <c r="K85" s="5">
        <f t="shared" si="0"/>
        <v>0.18049999999999999</v>
      </c>
    </row>
    <row r="86" spans="1:11">
      <c r="A86" s="72">
        <v>45763</v>
      </c>
      <c r="B86" t="s">
        <v>9</v>
      </c>
      <c r="C86" t="s">
        <v>10</v>
      </c>
      <c r="D86" t="s">
        <v>11</v>
      </c>
      <c r="E86" t="s">
        <v>14</v>
      </c>
      <c r="F86" t="s">
        <v>14</v>
      </c>
      <c r="G86" t="s">
        <v>12</v>
      </c>
      <c r="H86">
        <v>1</v>
      </c>
      <c r="I86">
        <v>0</v>
      </c>
      <c r="J86" s="4">
        <v>0</v>
      </c>
      <c r="K86" s="5">
        <f t="shared" si="0"/>
        <v>4.7499999999999999E-3</v>
      </c>
    </row>
    <row r="87" spans="1:11">
      <c r="A87" s="72">
        <v>45761</v>
      </c>
      <c r="B87" t="s">
        <v>9</v>
      </c>
      <c r="C87" t="s">
        <v>10</v>
      </c>
      <c r="D87" t="s">
        <v>11</v>
      </c>
      <c r="E87" t="s">
        <v>14</v>
      </c>
      <c r="F87" t="s">
        <v>14</v>
      </c>
      <c r="G87" t="s">
        <v>12</v>
      </c>
      <c r="H87">
        <v>81</v>
      </c>
      <c r="I87">
        <v>0</v>
      </c>
      <c r="J87" s="4">
        <v>0</v>
      </c>
      <c r="K87" s="5">
        <f t="shared" si="0"/>
        <v>0.38474999999999998</v>
      </c>
    </row>
    <row r="88" spans="1:11">
      <c r="A88" s="72">
        <v>45760</v>
      </c>
      <c r="B88" t="s">
        <v>9</v>
      </c>
      <c r="C88" t="s">
        <v>10</v>
      </c>
      <c r="D88" t="s">
        <v>11</v>
      </c>
      <c r="E88" t="s">
        <v>14</v>
      </c>
      <c r="F88" t="s">
        <v>14</v>
      </c>
      <c r="G88" t="s">
        <v>12</v>
      </c>
      <c r="H88">
        <v>1</v>
      </c>
      <c r="I88">
        <v>0</v>
      </c>
      <c r="J88" s="4">
        <v>0</v>
      </c>
      <c r="K88" s="5">
        <f t="shared" si="0"/>
        <v>4.7499999999999999E-3</v>
      </c>
    </row>
    <row r="89" spans="1:11">
      <c r="A89" s="72">
        <v>45755</v>
      </c>
      <c r="B89" t="s">
        <v>9</v>
      </c>
      <c r="C89" t="s">
        <v>10</v>
      </c>
      <c r="D89" t="s">
        <v>11</v>
      </c>
      <c r="E89" t="s">
        <v>14</v>
      </c>
      <c r="F89" t="s">
        <v>14</v>
      </c>
      <c r="G89" t="s">
        <v>12</v>
      </c>
      <c r="H89">
        <v>41</v>
      </c>
      <c r="I89">
        <v>0</v>
      </c>
      <c r="J89" s="4">
        <v>0</v>
      </c>
      <c r="K89" s="5">
        <f t="shared" si="0"/>
        <v>0.19475000000000001</v>
      </c>
    </row>
    <row r="90" spans="1:11">
      <c r="A90" s="72">
        <v>45752</v>
      </c>
      <c r="B90" t="s">
        <v>9</v>
      </c>
      <c r="C90" t="s">
        <v>10</v>
      </c>
      <c r="D90" t="s">
        <v>11</v>
      </c>
      <c r="E90" t="s">
        <v>14</v>
      </c>
      <c r="F90" t="s">
        <v>14</v>
      </c>
      <c r="G90" t="s">
        <v>12</v>
      </c>
      <c r="H90">
        <v>249</v>
      </c>
      <c r="I90">
        <v>0</v>
      </c>
      <c r="J90" s="4">
        <v>0</v>
      </c>
      <c r="K90" s="5">
        <f t="shared" si="0"/>
        <v>1.18275</v>
      </c>
    </row>
    <row r="91" spans="1:11">
      <c r="A91" s="72">
        <v>45751</v>
      </c>
      <c r="B91" t="s">
        <v>9</v>
      </c>
      <c r="C91" t="s">
        <v>10</v>
      </c>
      <c r="D91" t="s">
        <v>11</v>
      </c>
      <c r="E91" t="s">
        <v>14</v>
      </c>
      <c r="F91" t="s">
        <v>14</v>
      </c>
      <c r="G91" t="s">
        <v>12</v>
      </c>
      <c r="H91">
        <v>106</v>
      </c>
      <c r="I91">
        <v>0</v>
      </c>
      <c r="J91" s="4">
        <v>0</v>
      </c>
      <c r="K91" s="5">
        <f t="shared" si="0"/>
        <v>0.50349999999999995</v>
      </c>
    </row>
    <row r="92" spans="1:11">
      <c r="A92" s="72">
        <v>45750</v>
      </c>
      <c r="B92" t="s">
        <v>9</v>
      </c>
      <c r="C92" t="s">
        <v>10</v>
      </c>
      <c r="D92" t="s">
        <v>11</v>
      </c>
      <c r="E92" t="s">
        <v>14</v>
      </c>
      <c r="F92" t="s">
        <v>14</v>
      </c>
      <c r="G92" t="s">
        <v>12</v>
      </c>
      <c r="H92">
        <v>5</v>
      </c>
      <c r="I92">
        <v>0</v>
      </c>
      <c r="J92" s="4">
        <v>0</v>
      </c>
      <c r="K92" s="5">
        <f t="shared" si="0"/>
        <v>2.375E-2</v>
      </c>
    </row>
    <row r="93" spans="1:11">
      <c r="A93" s="72">
        <v>45748</v>
      </c>
      <c r="B93" t="s">
        <v>9</v>
      </c>
      <c r="C93" t="s">
        <v>10</v>
      </c>
      <c r="D93" t="s">
        <v>11</v>
      </c>
      <c r="E93" t="s">
        <v>14</v>
      </c>
      <c r="F93" t="s">
        <v>14</v>
      </c>
      <c r="G93" t="s">
        <v>16</v>
      </c>
      <c r="H93">
        <v>39</v>
      </c>
      <c r="I93">
        <v>0</v>
      </c>
      <c r="J93" s="4">
        <v>0</v>
      </c>
      <c r="K93" s="5">
        <f t="shared" si="0"/>
        <v>0.18525</v>
      </c>
    </row>
    <row r="94" spans="1:11">
      <c r="A94" s="1"/>
      <c r="J94" s="4"/>
      <c r="K94" s="5"/>
    </row>
    <row r="95" spans="1:11">
      <c r="A95" s="1"/>
      <c r="J95" s="4"/>
      <c r="K95" s="5"/>
    </row>
    <row r="96" spans="1:11">
      <c r="A96" s="1"/>
      <c r="J96" s="4"/>
      <c r="K96" s="5"/>
    </row>
    <row r="97" spans="1:11">
      <c r="A97" s="1"/>
      <c r="J97" s="4"/>
      <c r="K97" s="5"/>
    </row>
    <row r="98" spans="1:11">
      <c r="A98" s="1"/>
      <c r="J98" s="4"/>
      <c r="K98" s="5"/>
    </row>
    <row r="99" spans="1:11">
      <c r="A99" s="1"/>
      <c r="J99" s="4"/>
      <c r="K99" s="5"/>
    </row>
    <row r="100" spans="1:11">
      <c r="A100" s="1"/>
      <c r="J100" s="4"/>
      <c r="K100" s="5"/>
    </row>
    <row r="101" spans="1:11">
      <c r="A101" s="1"/>
      <c r="J101" s="4"/>
      <c r="K101" s="5"/>
    </row>
    <row r="102" spans="1:11">
      <c r="A102" s="1"/>
      <c r="J102" s="4"/>
      <c r="K102" s="5"/>
    </row>
    <row r="103" spans="1:11">
      <c r="A103" s="1"/>
      <c r="J103" s="4"/>
      <c r="K103" s="5"/>
    </row>
    <row r="104" spans="1:11">
      <c r="A104" s="1"/>
      <c r="J104" s="4"/>
      <c r="K104" s="5"/>
    </row>
    <row r="105" spans="1:11">
      <c r="A105" s="1"/>
      <c r="J105" s="4"/>
      <c r="K105" s="5"/>
    </row>
    <row r="106" spans="1:11">
      <c r="A106" s="72"/>
      <c r="J106" s="4"/>
      <c r="K106" s="5"/>
    </row>
    <row r="107" spans="1:11">
      <c r="A107" s="72"/>
      <c r="J107" s="4"/>
      <c r="K107" s="5"/>
    </row>
    <row r="108" spans="1:11">
      <c r="A108" s="72"/>
      <c r="J108" s="4"/>
      <c r="K108" s="5"/>
    </row>
    <row r="109" spans="1:11">
      <c r="A109" s="72"/>
      <c r="J109" s="4"/>
      <c r="K109" s="5"/>
    </row>
    <row r="110" spans="1:11">
      <c r="A110" s="72"/>
      <c r="J110" s="4"/>
      <c r="K110" s="5"/>
    </row>
    <row r="111" spans="1:11">
      <c r="A111" s="72"/>
      <c r="J111" s="4"/>
      <c r="K111" s="5"/>
    </row>
    <row r="112" spans="1:11">
      <c r="A112" s="72"/>
      <c r="J112" s="4"/>
      <c r="K112" s="5"/>
    </row>
    <row r="113" spans="1:11">
      <c r="A113" s="72"/>
      <c r="J113" s="4"/>
      <c r="K113" s="5"/>
    </row>
    <row r="114" spans="1:11">
      <c r="A114" s="72"/>
      <c r="J114" s="4"/>
      <c r="K114" s="5"/>
    </row>
    <row r="115" spans="1:11">
      <c r="A115" s="72"/>
      <c r="J115" s="4"/>
      <c r="K115" s="5"/>
    </row>
    <row r="116" spans="1:11">
      <c r="A116" s="72"/>
      <c r="J116" s="4"/>
      <c r="K116" s="5"/>
    </row>
    <row r="117" spans="1:11">
      <c r="A117" s="72"/>
      <c r="J117" s="4"/>
      <c r="K117" s="5"/>
    </row>
    <row r="118" spans="1:11">
      <c r="A118" s="72"/>
      <c r="J118" s="4"/>
      <c r="K118" s="5"/>
    </row>
  </sheetData>
  <phoneticPr fontId="2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F607-E546-4F60-9EDC-DF6DAF0201AA}">
  <dimension ref="A1:O55"/>
  <sheetViews>
    <sheetView workbookViewId="0">
      <selection activeCell="A2" sqref="A2:E13"/>
    </sheetView>
  </sheetViews>
  <sheetFormatPr defaultRowHeight="15"/>
  <cols>
    <col min="1" max="1" width="12.7109375" bestFit="1" customWidth="1"/>
    <col min="2" max="2" width="12.42578125" customWidth="1"/>
    <col min="3" max="3" width="29.85546875" bestFit="1" customWidth="1"/>
    <col min="4" max="4" width="13.5703125" bestFit="1" customWidth="1"/>
    <col min="5" max="5" width="17" bestFit="1" customWidth="1"/>
    <col min="6" max="6" width="10.85546875" bestFit="1" customWidth="1"/>
    <col min="8" max="8" width="89.42578125" customWidth="1"/>
    <col min="9" max="9" width="37" bestFit="1" customWidth="1"/>
    <col min="10" max="10" width="11" bestFit="1" customWidth="1"/>
    <col min="14" max="14" width="11.85546875" style="47" customWidth="1"/>
    <col min="15" max="15" width="9.42578125" style="47" bestFit="1" customWidth="1"/>
  </cols>
  <sheetData>
    <row r="1" spans="1:15" s="13" customFormat="1" ht="15.75" customHeight="1">
      <c r="A1" s="13" t="s">
        <v>21</v>
      </c>
      <c r="B1" s="13" t="s">
        <v>19</v>
      </c>
      <c r="C1" s="13" t="s">
        <v>0</v>
      </c>
      <c r="D1" s="13" t="s">
        <v>1</v>
      </c>
      <c r="E1" s="13" t="s">
        <v>23</v>
      </c>
      <c r="F1" s="13" t="s">
        <v>38</v>
      </c>
      <c r="G1" s="13" t="s">
        <v>104</v>
      </c>
      <c r="I1" s="13" t="s">
        <v>24</v>
      </c>
      <c r="L1" s="13" t="s">
        <v>81</v>
      </c>
      <c r="N1" s="45" t="s">
        <v>95</v>
      </c>
      <c r="O1" s="45" t="s">
        <v>96</v>
      </c>
    </row>
    <row r="2" spans="1:15">
      <c r="A2" t="s">
        <v>11</v>
      </c>
      <c r="B2" t="s">
        <v>29</v>
      </c>
      <c r="C2" t="s">
        <v>9</v>
      </c>
      <c r="D2" t="s">
        <v>10</v>
      </c>
      <c r="E2" t="s">
        <v>46</v>
      </c>
      <c r="F2" s="5">
        <v>2.99</v>
      </c>
      <c r="G2" s="2">
        <v>1</v>
      </c>
      <c r="I2" t="s">
        <v>13</v>
      </c>
      <c r="J2" t="s">
        <v>25</v>
      </c>
      <c r="L2" t="s">
        <v>10</v>
      </c>
      <c r="N2" s="46">
        <v>45992</v>
      </c>
      <c r="O2" s="46">
        <v>46022</v>
      </c>
    </row>
    <row r="3" spans="1:15">
      <c r="A3" t="s">
        <v>31</v>
      </c>
      <c r="B3" t="s">
        <v>22</v>
      </c>
      <c r="C3" t="s">
        <v>9</v>
      </c>
      <c r="D3" t="s">
        <v>10</v>
      </c>
      <c r="E3" t="s">
        <v>47</v>
      </c>
      <c r="F3" s="5">
        <v>9.99</v>
      </c>
      <c r="G3" s="2">
        <v>1</v>
      </c>
      <c r="I3" t="s">
        <v>15</v>
      </c>
      <c r="J3" t="s">
        <v>26</v>
      </c>
      <c r="L3" t="s">
        <v>36</v>
      </c>
      <c r="N3" s="46">
        <v>45962</v>
      </c>
      <c r="O3" s="46">
        <v>45991</v>
      </c>
    </row>
    <row r="4" spans="1:15">
      <c r="A4" t="s">
        <v>32</v>
      </c>
      <c r="B4" t="s">
        <v>33</v>
      </c>
      <c r="C4" t="s">
        <v>9</v>
      </c>
      <c r="D4" t="s">
        <v>10</v>
      </c>
      <c r="E4" t="s">
        <v>48</v>
      </c>
      <c r="F4" s="5">
        <v>16.989999999999998</v>
      </c>
      <c r="G4" s="2">
        <v>1</v>
      </c>
      <c r="I4" t="s">
        <v>27</v>
      </c>
      <c r="J4" t="s">
        <v>70</v>
      </c>
      <c r="L4" t="s">
        <v>82</v>
      </c>
      <c r="N4" s="46">
        <v>45931</v>
      </c>
      <c r="O4" s="46">
        <v>45961</v>
      </c>
    </row>
    <row r="5" spans="1:15">
      <c r="A5" t="s">
        <v>34</v>
      </c>
      <c r="B5" t="s">
        <v>29</v>
      </c>
      <c r="C5" t="s">
        <v>35</v>
      </c>
      <c r="D5" t="s">
        <v>36</v>
      </c>
      <c r="E5" t="s">
        <v>49</v>
      </c>
      <c r="F5" s="5">
        <v>2.99</v>
      </c>
      <c r="G5" s="2">
        <v>0</v>
      </c>
      <c r="I5" t="s">
        <v>67</v>
      </c>
      <c r="J5" t="s">
        <v>25</v>
      </c>
      <c r="N5" s="46">
        <v>45901</v>
      </c>
      <c r="O5" s="46">
        <v>45930</v>
      </c>
    </row>
    <row r="6" spans="1:15">
      <c r="A6" t="s">
        <v>37</v>
      </c>
      <c r="B6" t="s">
        <v>22</v>
      </c>
      <c r="C6" t="s">
        <v>35</v>
      </c>
      <c r="D6" t="s">
        <v>36</v>
      </c>
      <c r="E6" t="s">
        <v>50</v>
      </c>
      <c r="F6" s="5">
        <v>12.75</v>
      </c>
      <c r="G6" s="2">
        <v>0</v>
      </c>
      <c r="I6" t="s">
        <v>57</v>
      </c>
      <c r="J6" t="s">
        <v>68</v>
      </c>
      <c r="N6" s="46">
        <v>45870</v>
      </c>
      <c r="O6" s="46">
        <v>45900</v>
      </c>
    </row>
    <row r="7" spans="1:15">
      <c r="A7" t="s">
        <v>39</v>
      </c>
      <c r="B7" t="s">
        <v>29</v>
      </c>
      <c r="C7" t="s">
        <v>40</v>
      </c>
      <c r="D7" t="s">
        <v>36</v>
      </c>
      <c r="E7" t="s">
        <v>51</v>
      </c>
      <c r="F7" s="5">
        <v>2.99</v>
      </c>
      <c r="G7" s="2">
        <v>0</v>
      </c>
      <c r="I7" t="s">
        <v>58</v>
      </c>
      <c r="J7" t="s">
        <v>69</v>
      </c>
      <c r="N7" s="46">
        <v>45839</v>
      </c>
      <c r="O7" s="46">
        <v>45869</v>
      </c>
    </row>
    <row r="8" spans="1:15">
      <c r="A8" t="s">
        <v>41</v>
      </c>
      <c r="B8" t="s">
        <v>22</v>
      </c>
      <c r="C8" t="s">
        <v>40</v>
      </c>
      <c r="D8" t="s">
        <v>36</v>
      </c>
      <c r="E8" t="s">
        <v>52</v>
      </c>
      <c r="F8" s="5">
        <v>15</v>
      </c>
      <c r="G8" s="2">
        <v>0</v>
      </c>
      <c r="I8" t="s">
        <v>65</v>
      </c>
      <c r="J8" t="s">
        <v>71</v>
      </c>
      <c r="N8" s="46">
        <v>45809</v>
      </c>
      <c r="O8" s="46">
        <v>45838</v>
      </c>
    </row>
    <row r="9" spans="1:15">
      <c r="A9" t="s">
        <v>42</v>
      </c>
      <c r="B9" t="s">
        <v>22</v>
      </c>
      <c r="C9" t="s">
        <v>43</v>
      </c>
      <c r="D9" t="s">
        <v>36</v>
      </c>
      <c r="E9" t="s">
        <v>53</v>
      </c>
      <c r="F9" s="5">
        <v>11.25</v>
      </c>
      <c r="G9" s="2">
        <v>0</v>
      </c>
      <c r="N9" s="46">
        <v>45778</v>
      </c>
      <c r="O9" s="46">
        <v>45808</v>
      </c>
    </row>
    <row r="10" spans="1:15">
      <c r="A10" t="s">
        <v>44</v>
      </c>
      <c r="B10" t="s">
        <v>29</v>
      </c>
      <c r="C10" t="s">
        <v>55</v>
      </c>
      <c r="D10" t="s">
        <v>36</v>
      </c>
      <c r="E10" t="s">
        <v>54</v>
      </c>
      <c r="F10" s="5">
        <v>0.99</v>
      </c>
      <c r="G10" s="2">
        <v>0</v>
      </c>
      <c r="N10" s="46">
        <v>45748</v>
      </c>
      <c r="O10" s="46">
        <v>45777</v>
      </c>
    </row>
    <row r="11" spans="1:15">
      <c r="A11" t="s">
        <v>45</v>
      </c>
      <c r="B11" t="s">
        <v>22</v>
      </c>
      <c r="C11" t="s">
        <v>55</v>
      </c>
      <c r="D11" t="s">
        <v>36</v>
      </c>
      <c r="E11" t="s">
        <v>54</v>
      </c>
      <c r="F11" s="5">
        <v>9</v>
      </c>
      <c r="G11" s="2">
        <v>0</v>
      </c>
      <c r="N11" s="46">
        <v>45717</v>
      </c>
      <c r="O11" s="46">
        <v>45747</v>
      </c>
    </row>
    <row r="12" spans="1:15">
      <c r="A12" t="s">
        <v>123</v>
      </c>
      <c r="B12" t="s">
        <v>22</v>
      </c>
      <c r="C12" t="s">
        <v>101</v>
      </c>
      <c r="D12" t="s">
        <v>82</v>
      </c>
      <c r="E12" t="s">
        <v>102</v>
      </c>
      <c r="F12" s="5">
        <v>12</v>
      </c>
      <c r="G12" s="2">
        <v>0.5</v>
      </c>
      <c r="N12" s="46">
        <v>45689</v>
      </c>
      <c r="O12" s="46">
        <v>45716</v>
      </c>
    </row>
    <row r="13" spans="1:15">
      <c r="A13" t="s">
        <v>124</v>
      </c>
      <c r="B13" t="s">
        <v>29</v>
      </c>
      <c r="C13" t="s">
        <v>101</v>
      </c>
      <c r="D13" t="s">
        <v>82</v>
      </c>
      <c r="E13" t="s">
        <v>103</v>
      </c>
      <c r="F13" s="5">
        <v>2.99</v>
      </c>
      <c r="G13" s="2">
        <v>0.5</v>
      </c>
      <c r="N13" s="46">
        <v>45658</v>
      </c>
      <c r="O13" s="46">
        <v>45688</v>
      </c>
    </row>
    <row r="14" spans="1:15">
      <c r="N14" s="46">
        <v>45627</v>
      </c>
      <c r="O14" s="46">
        <v>45657</v>
      </c>
    </row>
    <row r="15" spans="1:15">
      <c r="N15" s="46">
        <v>45597</v>
      </c>
      <c r="O15" s="46">
        <v>45626</v>
      </c>
    </row>
    <row r="16" spans="1:15">
      <c r="N16" s="46">
        <v>45566</v>
      </c>
      <c r="O16" s="46">
        <v>45596</v>
      </c>
    </row>
    <row r="17" spans="14:15">
      <c r="N17" s="46">
        <v>45536</v>
      </c>
      <c r="O17" s="46">
        <v>45565</v>
      </c>
    </row>
    <row r="18" spans="14:15">
      <c r="N18" s="46">
        <v>45505</v>
      </c>
      <c r="O18" s="46">
        <v>45535</v>
      </c>
    </row>
    <row r="19" spans="14:15">
      <c r="N19" s="46">
        <v>45474</v>
      </c>
      <c r="O19" s="46">
        <v>45504</v>
      </c>
    </row>
    <row r="20" spans="14:15">
      <c r="N20" s="46">
        <v>45444</v>
      </c>
      <c r="O20" s="46">
        <v>45473</v>
      </c>
    </row>
    <row r="21" spans="14:15">
      <c r="N21" s="46">
        <v>45413</v>
      </c>
      <c r="O21" s="46">
        <v>45443</v>
      </c>
    </row>
    <row r="22" spans="14:15">
      <c r="N22" s="46">
        <v>45383</v>
      </c>
      <c r="O22" s="46">
        <v>45412</v>
      </c>
    </row>
    <row r="23" spans="14:15">
      <c r="N23" s="46">
        <v>45352</v>
      </c>
      <c r="O23" s="46">
        <v>45382</v>
      </c>
    </row>
    <row r="24" spans="14:15">
      <c r="N24" s="46">
        <v>45323</v>
      </c>
      <c r="O24" s="46">
        <v>45351</v>
      </c>
    </row>
    <row r="25" spans="14:15">
      <c r="N25" s="46">
        <v>45292</v>
      </c>
      <c r="O25" s="46">
        <v>45322</v>
      </c>
    </row>
    <row r="26" spans="14:15">
      <c r="N26" s="46">
        <v>45261</v>
      </c>
      <c r="O26" s="46">
        <v>45291</v>
      </c>
    </row>
    <row r="27" spans="14:15">
      <c r="N27" s="46">
        <v>45231</v>
      </c>
      <c r="O27" s="46">
        <v>45260</v>
      </c>
    </row>
    <row r="28" spans="14:15">
      <c r="N28" s="46">
        <v>45200</v>
      </c>
      <c r="O28" s="46">
        <v>45230</v>
      </c>
    </row>
    <row r="29" spans="14:15">
      <c r="N29" s="46">
        <v>45170</v>
      </c>
      <c r="O29" s="46">
        <v>45199</v>
      </c>
    </row>
    <row r="30" spans="14:15">
      <c r="N30" s="46">
        <v>45139</v>
      </c>
      <c r="O30" s="46">
        <v>45169</v>
      </c>
    </row>
    <row r="31" spans="14:15">
      <c r="N31" s="46">
        <v>45108</v>
      </c>
      <c r="O31" s="46">
        <v>45138</v>
      </c>
    </row>
    <row r="32" spans="14:15">
      <c r="N32" s="46">
        <v>45078</v>
      </c>
      <c r="O32" s="46">
        <v>45107</v>
      </c>
    </row>
    <row r="33" spans="14:15">
      <c r="N33" s="46">
        <v>45047</v>
      </c>
      <c r="O33" s="46">
        <v>45077</v>
      </c>
    </row>
    <row r="34" spans="14:15">
      <c r="N34" s="46">
        <v>45017</v>
      </c>
      <c r="O34" s="46">
        <v>45046</v>
      </c>
    </row>
    <row r="35" spans="14:15">
      <c r="N35" s="46">
        <v>44986</v>
      </c>
      <c r="O35" s="46">
        <v>45016</v>
      </c>
    </row>
    <row r="36" spans="14:15">
      <c r="N36" s="46">
        <v>44958</v>
      </c>
      <c r="O36" s="46">
        <v>44985</v>
      </c>
    </row>
    <row r="37" spans="14:15">
      <c r="N37" s="46">
        <v>44927</v>
      </c>
      <c r="O37" s="46">
        <v>44957</v>
      </c>
    </row>
    <row r="38" spans="14:15">
      <c r="N38" s="46">
        <v>44896</v>
      </c>
      <c r="O38" s="46">
        <v>44926</v>
      </c>
    </row>
    <row r="39" spans="14:15">
      <c r="N39" s="46">
        <v>44866</v>
      </c>
      <c r="O39" s="46">
        <v>44895</v>
      </c>
    </row>
    <row r="40" spans="14:15">
      <c r="N40" s="46">
        <v>44835</v>
      </c>
      <c r="O40" s="46">
        <v>44865</v>
      </c>
    </row>
    <row r="41" spans="14:15">
      <c r="N41" s="46"/>
      <c r="O41" s="46"/>
    </row>
    <row r="42" spans="14:15">
      <c r="N42" s="46"/>
      <c r="O42" s="46"/>
    </row>
    <row r="43" spans="14:15">
      <c r="N43" s="46"/>
      <c r="O43" s="46"/>
    </row>
    <row r="44" spans="14:15">
      <c r="N44" s="46"/>
      <c r="O44" s="46"/>
    </row>
    <row r="45" spans="14:15">
      <c r="N45" s="46"/>
      <c r="O45" s="46"/>
    </row>
    <row r="46" spans="14:15">
      <c r="N46" s="46"/>
      <c r="O46" s="46"/>
    </row>
    <row r="47" spans="14:15">
      <c r="N47" s="46"/>
      <c r="O47" s="46"/>
    </row>
    <row r="48" spans="14:15">
      <c r="N48" s="46"/>
      <c r="O48" s="46"/>
    </row>
    <row r="49" spans="14:15">
      <c r="N49" s="46"/>
      <c r="O49" s="46"/>
    </row>
    <row r="50" spans="14:15">
      <c r="N50" s="46"/>
      <c r="O50" s="46"/>
    </row>
    <row r="51" spans="14:15">
      <c r="N51" s="46"/>
      <c r="O51" s="46"/>
    </row>
    <row r="52" spans="14:15">
      <c r="N52" s="46"/>
      <c r="O52" s="46"/>
    </row>
    <row r="53" spans="14:15">
      <c r="N53" s="46"/>
      <c r="O53" s="46"/>
    </row>
    <row r="54" spans="14:15">
      <c r="N54" s="46"/>
      <c r="O54" s="46"/>
    </row>
    <row r="55" spans="14:15">
      <c r="N55" s="46"/>
      <c r="O55" s="4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DASHBOARD</vt:lpstr>
      <vt:lpstr>Royalty Report</vt:lpstr>
      <vt:lpstr>Maya</vt:lpstr>
      <vt:lpstr>Sulima</vt:lpstr>
      <vt:lpstr>Carolyn</vt:lpstr>
      <vt:lpstr>Transactions</vt:lpstr>
      <vt:lpstr>Transform</vt:lpstr>
      <vt:lpstr>Paste</vt:lpstr>
      <vt:lpstr>Lists</vt:lpstr>
      <vt:lpstr>'Royalty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Bairey, Steph</dc:creator>
  <cp:lastModifiedBy>Maya Bairey</cp:lastModifiedBy>
  <cp:lastPrinted>2026-01-01T00:19:42Z</cp:lastPrinted>
  <dcterms:created xsi:type="dcterms:W3CDTF">2025-04-11T15:52:20Z</dcterms:created>
  <dcterms:modified xsi:type="dcterms:W3CDTF">2026-01-20T19:56:19Z</dcterms:modified>
</cp:coreProperties>
</file>