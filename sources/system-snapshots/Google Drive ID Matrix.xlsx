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bzo\Downloads\"/>
    </mc:Choice>
  </mc:AlternateContent>
  <xr:revisionPtr revIDLastSave="0" documentId="13_ncr:1_{BFB302F9-35A9-4C79-BDD1-2AA3622B63FD}" xr6:coauthVersionLast="47" xr6:coauthVersionMax="47" xr10:uidLastSave="{00000000-0000-0000-0000-000000000000}"/>
  <bookViews>
    <workbookView xWindow="10335" yWindow="0" windowWidth="40590" windowHeight="15570" activeTab="7" xr2:uid="{56F3760E-D213-4703-95B3-B61432A62EFF}"/>
  </bookViews>
  <sheets>
    <sheet name="MAYA" sheetId="1" r:id="rId1"/>
    <sheet name="MAYA ids" sheetId="2" r:id="rId2"/>
    <sheet name="LYNN" sheetId="4" r:id="rId3"/>
    <sheet name="LYNN ids" sheetId="3" r:id="rId4"/>
    <sheet name="LYNN final" sheetId="5" r:id="rId5"/>
    <sheet name="SULIMA" sheetId="6" r:id="rId6"/>
    <sheet name="SULIMA ids" sheetId="7" r:id="rId7"/>
    <sheet name="SULIMA final" sheetId="8" r:id="rId8"/>
    <sheet name="LINGUA INK" sheetId="12" r:id="rId9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8" l="1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C2" i="8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B2" i="8"/>
  <c r="C1" i="8"/>
  <c r="D1" i="8"/>
  <c r="E1" i="8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B1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" i="8"/>
  <c r="W1" i="12"/>
  <c r="V1" i="12"/>
  <c r="U1" i="12"/>
  <c r="T1" i="12"/>
  <c r="S1" i="12"/>
  <c r="R1" i="12"/>
  <c r="Q1" i="12"/>
  <c r="P1" i="12"/>
  <c r="O1" i="12"/>
  <c r="N1" i="12"/>
  <c r="M1" i="12"/>
  <c r="L1" i="12"/>
  <c r="K1" i="12"/>
  <c r="J1" i="12"/>
  <c r="I1" i="12"/>
  <c r="H1" i="12"/>
  <c r="G1" i="12"/>
  <c r="F1" i="12"/>
  <c r="E1" i="12"/>
  <c r="D1" i="12"/>
  <c r="C1" i="12"/>
  <c r="B1" i="12"/>
  <c r="B3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B2" i="5"/>
  <c r="D1" i="5"/>
  <c r="C1" i="5"/>
  <c r="B1" i="5"/>
  <c r="D1" i="4"/>
  <c r="C1" i="4"/>
  <c r="B1" i="4"/>
  <c r="D1" i="1"/>
  <c r="C1" i="1"/>
  <c r="B1" i="1"/>
</calcChain>
</file>

<file path=xl/sharedStrings.xml><?xml version="1.0" encoding="utf-8"?>
<sst xmlns="http://schemas.openxmlformats.org/spreadsheetml/2006/main" count="2275" uniqueCount="144">
  <si>
    <t>[MAYA]</t>
  </si>
  <si>
    <t>Source</t>
  </si>
  <si>
    <t>Asset</t>
  </si>
  <si>
    <t>Copy</t>
  </si>
  <si>
    <t>Design</t>
  </si>
  <si>
    <t>Marketing</t>
  </si>
  <si>
    <t>Newsletter</t>
  </si>
  <si>
    <t>Inspo</t>
  </si>
  <si>
    <t>Admin</t>
  </si>
  <si>
    <t>Cover</t>
  </si>
  <si>
    <t>Info</t>
  </si>
  <si>
    <t>Backup</t>
  </si>
  <si>
    <t>Headshot</t>
  </si>
  <si>
    <t>Interior</t>
  </si>
  <si>
    <t>Untitled-Kelsey</t>
  </si>
  <si>
    <t>Sailor's-Code</t>
  </si>
  <si>
    <t>Painting-Celia</t>
  </si>
  <si>
    <t>1tZYdQCEeHiMObOUF-vn2Zx_IAgH-pQe2</t>
  </si>
  <si>
    <t>1RTlmvtOz279OOwW6rzsKi07hzWmbIFdE</t>
  </si>
  <si>
    <t>1HYgKE8KHG3aHa5yssRP5QkYSCkixs6Iv</t>
  </si>
  <si>
    <t>1liZVn5ML72uIAoAhHkp-gcvV2PUbMxIC</t>
  </si>
  <si>
    <t>1Ge-0kbMlbbq3Mm6u9ueKITY5H0oFxbXU</t>
  </si>
  <si>
    <t>1R-P27joAfrXZ_BAAoXefChIegp_RFoFW</t>
  </si>
  <si>
    <t>19dJbRq6GVwGrt9mZJ3NegsuriQ7G57vt</t>
  </si>
  <si>
    <t>1R6_DoZSY0HqNG3atkRihKyjnXlXM-qLn</t>
  </si>
  <si>
    <t>1jxC5-kXTYEthBsr18OtKpgTbs3XTKHfV</t>
  </si>
  <si>
    <t>1I8Dez0rhnfK1BdJs4O_7ZALuUN5bIurm</t>
  </si>
  <si>
    <t>121Q8rdnvAjNHDkawLfHg1IAV8Ay02DxJ</t>
  </si>
  <si>
    <t>1epreGeMwReI4rZGEjathYmZXj34jDL67</t>
  </si>
  <si>
    <t>1Uzt32vdzpwWtCvlMdeebxtAKYtcWjuqg</t>
  </si>
  <si>
    <t>1ykOtB1Lzao_-YY5kILRep2J-yduW-yvd</t>
  </si>
  <si>
    <t>OLD</t>
  </si>
  <si>
    <t>1zeczUMlzYUAQv6t1ZFF7jlnsLiPswUow</t>
  </si>
  <si>
    <t>1FPVSF11YWp7DV9SCG-6uUx43KYfhn84i</t>
  </si>
  <si>
    <t>Video</t>
  </si>
  <si>
    <t>1qUXWXlXls6AuziR3mRgM2QESSlalhpSF</t>
  </si>
  <si>
    <t>PSD</t>
  </si>
  <si>
    <t>1epreGeMwReI4rZGEjathYmZXj34jDL76</t>
  </si>
  <si>
    <t>1epreGeMwReI4rZGEjathYmZXj34jDL84</t>
  </si>
  <si>
    <t>B-Roll</t>
  </si>
  <si>
    <t>Featured-image</t>
  </si>
  <si>
    <t>Social-image</t>
  </si>
  <si>
    <t>Book - Painting Celia</t>
  </si>
  <si>
    <t>– Master</t>
  </si>
  <si>
    <t>1P9Cw8CVk7RmkFUfRl3O401cXSLHI2UCZ</t>
  </si>
  <si>
    <t>Book - Sailor's Code</t>
  </si>
  <si>
    <t>– Images</t>
  </si>
  <si>
    <t>10-l2HN5-JdQ1wdyNFcAqKZSjXjALfSYK</t>
  </si>
  <si>
    <t>– – inspo board</t>
  </si>
  <si>
    <t>1rhSpHnbdGgoIfhTgPch_sURRbLSaOXNr</t>
  </si>
  <si>
    <t>1ZD8JgY96Ki6Hj89V-mWlQWouqHANze93</t>
  </si>
  <si>
    <t>– Old Drafts</t>
  </si>
  <si>
    <t>1bPQhvonXrOuVejyMlMUVGfUN6WhSALQh</t>
  </si>
  <si>
    <t>Book - Untitled Kelsey</t>
  </si>
  <si>
    <t>1DFhdaCYC_iJgfjdYpxcsFzWAFicWQ8rq</t>
  </si>
  <si>
    <t>– Headshots</t>
  </si>
  <si>
    <t>– Newsletter</t>
  </si>
  <si>
    <t>– – Featured images</t>
  </si>
  <si>
    <t>– – Swap</t>
  </si>
  <si>
    <t>1zd3Jmaus_vr6WqA6PN_AhFjUGzSzxBLm</t>
  </si>
  <si>
    <t>– Social images</t>
  </si>
  <si>
    <t>– Video</t>
  </si>
  <si>
    <t>– – avatar assets</t>
  </si>
  <si>
    <t>1ALfA55QMpu13gxa7B_3IRUX-SmrBnxoK</t>
  </si>
  <si>
    <t>– – avatar videos</t>
  </si>
  <si>
    <t>1W8Y4bqFiMkmSx2m8uEIz4Dd6oSTNAkB6</t>
  </si>
  <si>
    <t>– – b-roll raw</t>
  </si>
  <si>
    <t>17Vpl_wq3CFxhMMj6HCAUT2W3p6_DN0sX</t>
  </si>
  <si>
    <t>– – b-roll ready</t>
  </si>
  <si>
    <t>1FC8zEzxTdLCn-vWgOM5enGiy_jRBEwat</t>
  </si>
  <si>
    <t>PSDs</t>
  </si>
  <si>
    <t>SHARED</t>
  </si>
  <si>
    <t>1_LCIUpgcYaAx73YJuHpcrfeA9usyncbb</t>
  </si>
  <si>
    <t>Source files</t>
  </si>
  <si>
    <t>Unsorted</t>
  </si>
  <si>
    <t>Website</t>
  </si>
  <si>
    <t>1vJ4qdW0sz59qamDioXgHygOnhBGyjEJt</t>
  </si>
  <si>
    <t>– Assets</t>
  </si>
  <si>
    <t>1OKRuU32zpyFN5YaBQYI705aj65HsiG0H</t>
  </si>
  <si>
    <t>– Copy</t>
  </si>
  <si>
    <t>– Design</t>
  </si>
  <si>
    <t>~old</t>
  </si>
  <si>
    <t>1WJLQaqCT-dbigvaPr0qwSqfWa2okmQuj</t>
  </si>
  <si>
    <t>1h1RSiSTe8nrUgL9drpkfcOyaHLW0Vmr5</t>
  </si>
  <si>
    <t>Book - Hallway of Doorknobs</t>
  </si>
  <si>
    <t>1pvum72Gav0Uo8l2Gv7XqWLHAcp7ebOav</t>
  </si>
  <si>
    <t>1dM3Pt_wGXjnnlbfBPJI8dieMraaQL4C1</t>
  </si>
  <si>
    <t>Book - Untitled Libby</t>
  </si>
  <si>
    <t>1i6YgttRUxsS8eDzNreRHS1kLyFjc8Vbm</t>
  </si>
  <si>
    <t>1wexIzo5Ussu7VuYyqOhS6MYq6MINi23o</t>
  </si>
  <si>
    <t>Book - Workbook</t>
  </si>
  <si>
    <t>1_8XrgWpWpUec4gny3ZkWdj64jT2GJa9c</t>
  </si>
  <si>
    <t>1hsALaGE1uMGEfF8hxLBG-nvKpEPQGgR3</t>
  </si>
  <si>
    <t>1nuzqw-fwBX5MyYFA7SCpoxlQ8wv3TzCW</t>
  </si>
  <si>
    <t>1hy21y43nwHZaLegDb93aDROu37Vp1JTn</t>
  </si>
  <si>
    <t>1eErACYiOk3jQ2x4SoXSaidAA-qkmTaCG</t>
  </si>
  <si>
    <t>1fVOTDgQc_VukLst1Vj82KytYqi_ziha0</t>
  </si>
  <si>
    <t>1-9MTa4xIe9axdFIxtM5MsD_-0YVh1lcx</t>
  </si>
  <si>
    <t>1tp5aFpswfMYtgc_L4jUzXybzxgwJf2_t</t>
  </si>
  <si>
    <t>1I_HVTZQRAf_MjuUMOLp5geQoy-HQGOs5</t>
  </si>
  <si>
    <t>1lzO-IBukmKDAW4mSi407ZL4wF64coiTT</t>
  </si>
  <si>
    <t>1LgyF2LrrjxXP2fMravNrvtY7u47xueAN</t>
  </si>
  <si>
    <t>14uCOjuWxxahpyW0J5tCTsPM_LD3cvxyr</t>
  </si>
  <si>
    <t>1TlC1fMx-wUCxZY1xZiY0DEtoBfOgTShm</t>
  </si>
  <si>
    <t>1Vcm6nyosh52PWrXYbZw0z1hhlfD5bNIo</t>
  </si>
  <si>
    <t>Hallway-of-Doorknobs</t>
  </si>
  <si>
    <t>Untitled-Libby</t>
  </si>
  <si>
    <t>Workbook</t>
  </si>
  <si>
    <t>[LYNN]</t>
  </si>
  <si>
    <t>– HoD Master</t>
  </si>
  <si>
    <t>– Libby Master</t>
  </si>
  <si>
    <t>– Workbook Master</t>
  </si>
  <si>
    <t>– Headshots raw</t>
  </si>
  <si>
    <t>BOOK - Tributaries</t>
  </si>
  <si>
    <t>BOOK - Words That Dance</t>
  </si>
  <si>
    <t>BOOK - Arms Filled with Bittersweet</t>
  </si>
  <si>
    <t>BOOK - All in the Soup Together</t>
  </si>
  <si>
    <t>1wXYsN253TZTVcBPueU0Ayy595L3WR3SH</t>
  </si>
  <si>
    <t>1K9TPBa4lpwe68-HcLdtSPkCvSAq1NpiD</t>
  </si>
  <si>
    <t>1yF_yKsQkQwSwIIPflP8B1nITKy_4MrH1</t>
  </si>
  <si>
    <t>1gsjBBx9eGQhjyLE8wL2lONLQNUy5reeX</t>
  </si>
  <si>
    <t>1XVA06M6iqqw1tnHE74sTIg-4I-kQXmaC</t>
  </si>
  <si>
    <t>1IMsYiNNUoUZFAp_H6uP80d_Az1XCjckc</t>
  </si>
  <si>
    <t>1z-sFkqO7SWcgnPRxaJAk1jziLahxBLWo</t>
  </si>
  <si>
    <t>1PL6nLdN9Jc7QmcXAjkMqnieR9R_tY8l3</t>
  </si>
  <si>
    <t>1oa1DjYEEwdm9wJQW8XDZUDk4jrqlG5QB</t>
  </si>
  <si>
    <t>1D4VHUORJN08hK49qS1ZCEZ0CwV7aMR_h</t>
  </si>
  <si>
    <t>1Wwn62wgXvWL4xPfCsCRGLl2nGC6yMHnn</t>
  </si>
  <si>
    <t>1nNs4IL7Vrx_xuRxmKE-kCqmBizvBMgcV</t>
  </si>
  <si>
    <t>1ASTrMyT8BoZ1R3JFTD4faPJqC2wAwo-Z</t>
  </si>
  <si>
    <t>1R0aAzfFYL8pB08eBBG09IYcExjLDE6S1</t>
  </si>
  <si>
    <t>1kaBTXf2AfKiaRQFJ4NWqKNYwltwwp0M_</t>
  </si>
  <si>
    <t>1jibhxXBXsZUgsTYiudGBCjD7cdAILiiA</t>
  </si>
  <si>
    <t>1Wxi1Qx2VmUJJRXaACsUpIwCwLL-MeLSh</t>
  </si>
  <si>
    <t>17eP1Ps9zdVPnVgQdYS3YuaFMui4sbtPi</t>
  </si>
  <si>
    <t>1ugMOJqdYEXN530v90JNVR1Jm4CtWtFz5</t>
  </si>
  <si>
    <t>1D4BOx2y0gJ6IaGCUqBoJ6lOROpoXeUL7</t>
  </si>
  <si>
    <t>1NT5GSrqVKJwtOsn6fTB5iZOyxdGqUWbh</t>
  </si>
  <si>
    <t>All-in-the-Soup</t>
  </si>
  <si>
    <t>Arms-Filled-with-Bittersweet</t>
  </si>
  <si>
    <t>Tributaries</t>
  </si>
  <si>
    <t>Words-That-Dance</t>
  </si>
  <si>
    <t>[SULIMA]</t>
  </si>
  <si>
    <t>[LINGUA INK]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</si>
</sst>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Aptos Display"/>
      <family val="2"/>
    </font>
    <font>
      <sz val="11"/>
      <name val="Aptos Display"/>
      <family val="2"/>
    </font>
    <font>
      <sz val="8"/>
      <name val="Calibri"/>
      <family val="2"/>
      <scheme val="minor"/>
    </font>
    <font>
      <sz val="11"/>
      <color theme="0"/>
      <name val="Aptos Display"/>
      <family val="2"/>
    </font>
    <font>
      <sz val="11"/>
      <color rgb="FF000684"/>
      <name val="Aptos Display"/>
      <family val="2"/>
    </font>
    <font>
      <sz val="11"/>
      <color theme="4" tint="-0.499984740745262"/>
      <name val="Aptos Display"/>
      <family val="2"/>
    </font>
    <font>
      <sz val="11"/>
      <color rgb="FF252FFF"/>
      <name val="Aptos Display"/>
      <family val="2"/>
    </font>
    <font>
      <sz val="11"/>
      <color rgb="FF656CFF"/>
      <name val="Aptos Display"/>
      <family val="2"/>
    </font>
    <font>
      <sz val="8"/>
      <color theme="4" tint="-0.499984740745262"/>
      <name val="Aptos Display"/>
      <family val="2"/>
    </font>
    <font>
      <sz val="8"/>
      <color theme="1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2" fillId="0" borderId="1" xfId="0" applyFont="1" applyBorder="1"/>
    <xf numFmtId="0" fontId="4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51">
    <dxf>
      <font>
        <b/>
        <i val="0"/>
        <color rgb="FFC00000"/>
      </font>
    </dxf>
    <dxf>
      <font>
        <color rgb="FF9BC2E6"/>
      </font>
    </dxf>
    <dxf>
      <font>
        <b/>
        <i val="0"/>
        <color rgb="FFC00000"/>
      </font>
    </dxf>
    <dxf>
      <font>
        <color rgb="FF9BC2E6"/>
      </font>
    </dxf>
    <dxf>
      <font>
        <b/>
        <i val="0"/>
        <color rgb="FFC00000"/>
      </font>
    </dxf>
    <dxf>
      <font>
        <color rgb="FF9BC2E6"/>
      </font>
    </dxf>
    <dxf>
      <font>
        <b/>
        <i val="0"/>
        <color rgb="FFC00000"/>
      </font>
    </dxf>
    <dxf>
      <font>
        <color rgb="FF9BC2E6"/>
      </font>
    </dxf>
    <dxf>
      <font>
        <b/>
        <i val="0"/>
        <color rgb="FFC00000"/>
      </font>
    </dxf>
    <dxf>
      <font>
        <color rgb="FF9BC2E6"/>
      </font>
    </dxf>
    <dxf>
      <font>
        <b/>
        <i val="0"/>
        <color rgb="FFC00000"/>
      </font>
    </dxf>
    <dxf>
      <font>
        <color rgb="FF9BC2E6"/>
      </font>
    </dxf>
    <dxf>
      <font>
        <b/>
        <i val="0"/>
        <color rgb="FFC00000"/>
      </font>
    </dxf>
    <dxf>
      <font>
        <color rgb="FF9BC2E6"/>
      </font>
    </dxf>
    <dxf>
      <font>
        <b/>
        <i val="0"/>
        <color rgb="FFC00000"/>
      </font>
    </dxf>
    <dxf>
      <font>
        <color rgb="FF9BC2E6"/>
      </font>
    </dxf>
    <dxf>
      <font>
        <b/>
        <i val="0"/>
        <color rgb="FFC00000"/>
      </font>
    </dxf>
    <dxf>
      <font>
        <color rgb="FF9BC2E6"/>
      </font>
    </dxf>
    <dxf>
      <font>
        <b/>
        <i val="0"/>
        <color rgb="FFC00000"/>
      </font>
    </dxf>
    <dxf>
      <font>
        <color rgb="FF9BC2E6"/>
      </font>
    </dxf>
    <dxf>
      <font>
        <b/>
        <i val="0"/>
        <color rgb="FFC00000"/>
      </font>
    </dxf>
    <dxf>
      <font>
        <color rgb="FF9BC2E6"/>
      </font>
    </dxf>
    <dxf>
      <font>
        <b/>
        <i val="0"/>
        <color rgb="FFC00000"/>
      </font>
    </dxf>
    <dxf>
      <font>
        <color rgb="FF9BC2E6"/>
      </font>
    </dxf>
    <dxf>
      <font>
        <b/>
        <i val="0"/>
        <color rgb="FFC00000"/>
      </font>
    </dxf>
    <dxf>
      <font>
        <color rgb="FF9BC2E6"/>
      </font>
    </dxf>
    <dxf>
      <font>
        <b/>
        <i val="0"/>
        <color rgb="FFC00000"/>
      </font>
    </dxf>
    <dxf>
      <font>
        <color rgb="FF9BC2E6"/>
      </font>
    </dxf>
    <dxf>
      <font>
        <b/>
        <i val="0"/>
        <color rgb="FFC00000"/>
      </font>
    </dxf>
    <dxf>
      <font>
        <color rgb="FF9BC2E6"/>
      </font>
    </dxf>
    <dxf>
      <font>
        <b/>
        <i val="0"/>
        <color rgb="FFC00000"/>
      </font>
    </dxf>
    <dxf>
      <font>
        <color rgb="FF9BC2E6"/>
      </font>
    </dxf>
    <dxf>
      <font>
        <b/>
        <i val="0"/>
        <color rgb="FFC00000"/>
      </font>
    </dxf>
    <dxf>
      <font>
        <color rgb="FF9BC2E6"/>
      </font>
    </dxf>
    <dxf>
      <font>
        <b/>
        <i val="0"/>
        <color rgb="FFC00000"/>
      </font>
    </dxf>
    <dxf>
      <font>
        <color rgb="FF9BC2E6"/>
      </font>
    </dxf>
    <dxf>
      <font>
        <b/>
        <i val="0"/>
        <color rgb="FFC00000"/>
      </font>
    </dxf>
    <dxf>
      <font>
        <color rgb="FF9BC2E6"/>
      </font>
    </dxf>
    <dxf>
      <font>
        <b/>
        <i val="0"/>
        <color rgb="FFC00000"/>
      </font>
    </dxf>
    <dxf>
      <font>
        <color rgb="FF9BC2E6"/>
      </font>
    </dxf>
    <dxf>
      <font>
        <b/>
        <i val="0"/>
        <color rgb="FFC00000"/>
      </font>
    </dxf>
    <dxf>
      <font>
        <color rgb="FF9BC2E6"/>
      </font>
    </dxf>
    <dxf>
      <font>
        <b/>
        <i val="0"/>
        <color rgb="FFC00000"/>
      </font>
    </dxf>
    <dxf>
      <font>
        <color rgb="FF252FFF"/>
      </font>
    </dxf>
    <dxf>
      <font>
        <color rgb="FF656CFF"/>
      </font>
    </dxf>
    <dxf>
      <font>
        <b/>
        <i val="0"/>
        <color rgb="FFC00000"/>
      </font>
    </dxf>
    <dxf>
      <font>
        <color theme="8" tint="0.39994506668294322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</dxfs>
  <tableStyles count="0" defaultTableStyle="TableStyleMedium2" defaultPivotStyle="PivotStyleLight16"/>
  <colors>
    <mruColors>
      <color rgb="FF9BC2E6"/>
      <color rgb="FF656CFF"/>
      <color rgb="FF252FFF"/>
      <color rgb="FFFFEBEB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7A79C-71C4-4FD2-92B9-B50AD04A0683}">
  <dimension ref="A1:W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7109375" defaultRowHeight="15" x14ac:dyDescent="0.25"/>
  <cols>
    <col min="1" max="1" width="14.5703125" style="1" bestFit="1" customWidth="1"/>
    <col min="2" max="18" width="15.5703125" style="1" customWidth="1"/>
    <col min="19" max="20" width="14.7109375" style="1"/>
    <col min="21" max="22" width="14.7109375" style="5"/>
    <col min="23" max="16384" width="14.7109375" style="1"/>
  </cols>
  <sheetData>
    <row r="1" spans="1:23" x14ac:dyDescent="0.25">
      <c r="A1" s="2" t="s">
        <v>0</v>
      </c>
      <c r="B1" s="3" t="str">
        <f>A2</f>
        <v>Painting-Celia</v>
      </c>
      <c r="C1" s="3" t="str">
        <f>A3</f>
        <v>Untitled-Kelsey</v>
      </c>
      <c r="D1" s="3" t="str">
        <f>A4</f>
        <v>Sailor's-Code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31</v>
      </c>
      <c r="S1" s="3" t="s">
        <v>34</v>
      </c>
      <c r="T1" s="3" t="s">
        <v>36</v>
      </c>
      <c r="U1" s="3" t="s">
        <v>39</v>
      </c>
      <c r="V1" s="3" t="s">
        <v>40</v>
      </c>
      <c r="W1" s="3" t="s">
        <v>41</v>
      </c>
    </row>
    <row r="2" spans="1:23" x14ac:dyDescent="0.25">
      <c r="A2" s="3" t="s">
        <v>16</v>
      </c>
      <c r="B2" s="4" t="s">
        <v>19</v>
      </c>
      <c r="C2" s="4" t="s">
        <v>30</v>
      </c>
      <c r="D2" s="4" t="s">
        <v>30</v>
      </c>
      <c r="E2" s="4" t="s">
        <v>27</v>
      </c>
      <c r="F2" s="4" t="s">
        <v>19</v>
      </c>
      <c r="G2" s="4" t="s">
        <v>19</v>
      </c>
      <c r="H2" s="4" t="s">
        <v>19</v>
      </c>
      <c r="I2" s="4" t="s">
        <v>20</v>
      </c>
      <c r="J2" s="4" t="s">
        <v>21</v>
      </c>
      <c r="K2" s="4" t="s">
        <v>19</v>
      </c>
      <c r="L2" s="4" t="s">
        <v>29</v>
      </c>
      <c r="M2" s="4" t="s">
        <v>19</v>
      </c>
      <c r="N2" s="4" t="s">
        <v>19</v>
      </c>
      <c r="O2" s="4" t="s">
        <v>33</v>
      </c>
      <c r="P2" s="4" t="s">
        <v>32</v>
      </c>
      <c r="Q2" s="4" t="s">
        <v>19</v>
      </c>
      <c r="R2" s="4" t="s">
        <v>33</v>
      </c>
      <c r="S2" s="4" t="s">
        <v>23</v>
      </c>
      <c r="T2" s="4" t="s">
        <v>28</v>
      </c>
      <c r="U2" s="4" t="s">
        <v>19</v>
      </c>
      <c r="V2" s="4" t="s">
        <v>22</v>
      </c>
      <c r="W2" s="4" t="s">
        <v>35</v>
      </c>
    </row>
    <row r="3" spans="1:23" x14ac:dyDescent="0.25">
      <c r="A3" s="3" t="s">
        <v>14</v>
      </c>
      <c r="B3" s="4" t="s">
        <v>30</v>
      </c>
      <c r="C3" s="4" t="s">
        <v>18</v>
      </c>
      <c r="D3" s="4" t="s">
        <v>30</v>
      </c>
      <c r="E3" s="4" t="s">
        <v>27</v>
      </c>
      <c r="F3" s="4" t="s">
        <v>18</v>
      </c>
      <c r="G3" s="4" t="s">
        <v>18</v>
      </c>
      <c r="H3" s="4" t="s">
        <v>18</v>
      </c>
      <c r="I3" s="4" t="s">
        <v>20</v>
      </c>
      <c r="J3" s="4" t="s">
        <v>21</v>
      </c>
      <c r="K3" s="4" t="s">
        <v>18</v>
      </c>
      <c r="L3" s="4" t="s">
        <v>29</v>
      </c>
      <c r="M3" s="4" t="s">
        <v>18</v>
      </c>
      <c r="N3" s="4" t="s">
        <v>18</v>
      </c>
      <c r="O3" s="4" t="s">
        <v>33</v>
      </c>
      <c r="P3" s="4" t="s">
        <v>32</v>
      </c>
      <c r="Q3" s="4" t="s">
        <v>18</v>
      </c>
      <c r="R3" s="4" t="s">
        <v>33</v>
      </c>
      <c r="S3" s="4" t="s">
        <v>23</v>
      </c>
      <c r="T3" s="4" t="s">
        <v>28</v>
      </c>
      <c r="U3" s="4" t="s">
        <v>19</v>
      </c>
      <c r="V3" s="4" t="s">
        <v>22</v>
      </c>
      <c r="W3" s="4" t="s">
        <v>35</v>
      </c>
    </row>
    <row r="4" spans="1:23" x14ac:dyDescent="0.25">
      <c r="A4" s="3" t="s">
        <v>15</v>
      </c>
      <c r="B4" s="4" t="s">
        <v>30</v>
      </c>
      <c r="C4" s="4" t="s">
        <v>30</v>
      </c>
      <c r="D4" s="4" t="s">
        <v>17</v>
      </c>
      <c r="E4" s="4" t="s">
        <v>27</v>
      </c>
      <c r="F4" s="4" t="s">
        <v>17</v>
      </c>
      <c r="G4" s="4" t="s">
        <v>17</v>
      </c>
      <c r="H4" s="4" t="s">
        <v>17</v>
      </c>
      <c r="I4" s="4" t="s">
        <v>20</v>
      </c>
      <c r="J4" s="4" t="s">
        <v>21</v>
      </c>
      <c r="K4" s="4" t="s">
        <v>17</v>
      </c>
      <c r="L4" s="4" t="s">
        <v>29</v>
      </c>
      <c r="M4" s="4" t="s">
        <v>17</v>
      </c>
      <c r="N4" s="4" t="s">
        <v>17</v>
      </c>
      <c r="O4" s="4" t="s">
        <v>33</v>
      </c>
      <c r="P4" s="4" t="s">
        <v>32</v>
      </c>
      <c r="Q4" s="4" t="s">
        <v>17</v>
      </c>
      <c r="R4" s="4" t="s">
        <v>33</v>
      </c>
      <c r="S4" s="4" t="s">
        <v>23</v>
      </c>
      <c r="T4" s="4" t="s">
        <v>28</v>
      </c>
      <c r="U4" s="4" t="s">
        <v>19</v>
      </c>
      <c r="V4" s="4" t="s">
        <v>22</v>
      </c>
      <c r="W4" s="4" t="s">
        <v>35</v>
      </c>
    </row>
    <row r="5" spans="1:23" x14ac:dyDescent="0.25">
      <c r="A5" s="3" t="s">
        <v>1</v>
      </c>
      <c r="B5" s="4" t="s">
        <v>27</v>
      </c>
      <c r="C5" s="4" t="s">
        <v>27</v>
      </c>
      <c r="D5" s="4" t="s">
        <v>27</v>
      </c>
      <c r="E5" s="4" t="s">
        <v>27</v>
      </c>
      <c r="F5" s="4" t="s">
        <v>27</v>
      </c>
      <c r="G5" s="4" t="s">
        <v>27</v>
      </c>
      <c r="H5" s="4" t="s">
        <v>27</v>
      </c>
      <c r="I5" s="4" t="s">
        <v>27</v>
      </c>
      <c r="J5" s="4" t="s">
        <v>27</v>
      </c>
      <c r="K5" s="4" t="s">
        <v>27</v>
      </c>
      <c r="L5" s="4" t="s">
        <v>27</v>
      </c>
      <c r="M5" s="4" t="s">
        <v>27</v>
      </c>
      <c r="N5" s="4" t="s">
        <v>27</v>
      </c>
      <c r="O5" s="4" t="s">
        <v>33</v>
      </c>
      <c r="P5" s="4" t="s">
        <v>27</v>
      </c>
      <c r="Q5" s="4" t="s">
        <v>27</v>
      </c>
      <c r="R5" s="4" t="s">
        <v>33</v>
      </c>
      <c r="S5" s="4" t="s">
        <v>27</v>
      </c>
      <c r="T5" s="4" t="s">
        <v>27</v>
      </c>
      <c r="U5" s="4" t="s">
        <v>19</v>
      </c>
      <c r="V5" s="4" t="s">
        <v>22</v>
      </c>
      <c r="W5" s="4" t="s">
        <v>35</v>
      </c>
    </row>
    <row r="6" spans="1:23" x14ac:dyDescent="0.25">
      <c r="A6" s="3" t="s">
        <v>2</v>
      </c>
      <c r="B6" s="4" t="s">
        <v>19</v>
      </c>
      <c r="C6" s="4" t="s">
        <v>18</v>
      </c>
      <c r="D6" s="4" t="s">
        <v>17</v>
      </c>
      <c r="E6" s="4" t="s">
        <v>27</v>
      </c>
      <c r="F6" s="4" t="s">
        <v>26</v>
      </c>
      <c r="G6" s="4" t="s">
        <v>30</v>
      </c>
      <c r="H6" s="4" t="s">
        <v>30</v>
      </c>
      <c r="I6" s="4" t="s">
        <v>20</v>
      </c>
      <c r="J6" s="4" t="s">
        <v>21</v>
      </c>
      <c r="K6" s="4" t="s">
        <v>30</v>
      </c>
      <c r="L6" s="4" t="s">
        <v>29</v>
      </c>
      <c r="M6" s="4" t="s">
        <v>30</v>
      </c>
      <c r="N6" s="4" t="s">
        <v>30</v>
      </c>
      <c r="O6" s="4" t="s">
        <v>33</v>
      </c>
      <c r="P6" s="4" t="s">
        <v>32</v>
      </c>
      <c r="Q6" s="4" t="s">
        <v>30</v>
      </c>
      <c r="R6" s="4" t="s">
        <v>33</v>
      </c>
      <c r="S6" s="4" t="s">
        <v>23</v>
      </c>
      <c r="T6" s="4" t="s">
        <v>28</v>
      </c>
      <c r="U6" s="4" t="s">
        <v>23</v>
      </c>
      <c r="V6" s="4" t="s">
        <v>22</v>
      </c>
      <c r="W6" s="4" t="s">
        <v>35</v>
      </c>
    </row>
    <row r="7" spans="1:23" x14ac:dyDescent="0.25">
      <c r="A7" s="3" t="s">
        <v>3</v>
      </c>
      <c r="B7" s="4" t="s">
        <v>19</v>
      </c>
      <c r="C7" s="4" t="s">
        <v>18</v>
      </c>
      <c r="D7" s="4" t="s">
        <v>17</v>
      </c>
      <c r="E7" s="4" t="s">
        <v>27</v>
      </c>
      <c r="F7" s="4" t="s">
        <v>30</v>
      </c>
      <c r="G7" s="4" t="s">
        <v>25</v>
      </c>
      <c r="H7" s="4" t="s">
        <v>30</v>
      </c>
      <c r="I7" s="4" t="s">
        <v>20</v>
      </c>
      <c r="J7" s="4" t="s">
        <v>21</v>
      </c>
      <c r="K7" s="4" t="s">
        <v>30</v>
      </c>
      <c r="L7" s="4" t="s">
        <v>29</v>
      </c>
      <c r="M7" s="4" t="s">
        <v>30</v>
      </c>
      <c r="N7" s="4" t="s">
        <v>30</v>
      </c>
      <c r="O7" s="4" t="s">
        <v>33</v>
      </c>
      <c r="P7" s="4" t="s">
        <v>32</v>
      </c>
      <c r="Q7" s="4" t="s">
        <v>30</v>
      </c>
      <c r="R7" s="4" t="s">
        <v>33</v>
      </c>
      <c r="S7" s="4" t="s">
        <v>23</v>
      </c>
      <c r="T7" s="4" t="s">
        <v>28</v>
      </c>
      <c r="U7" s="4" t="s">
        <v>19</v>
      </c>
      <c r="V7" s="4" t="s">
        <v>22</v>
      </c>
      <c r="W7" s="4" t="s">
        <v>35</v>
      </c>
    </row>
    <row r="8" spans="1:23" x14ac:dyDescent="0.25">
      <c r="A8" s="3" t="s">
        <v>4</v>
      </c>
      <c r="B8" s="4" t="s">
        <v>19</v>
      </c>
      <c r="C8" s="4" t="s">
        <v>18</v>
      </c>
      <c r="D8" s="4" t="s">
        <v>17</v>
      </c>
      <c r="E8" s="4" t="s">
        <v>27</v>
      </c>
      <c r="F8" s="4" t="s">
        <v>30</v>
      </c>
      <c r="G8" s="4" t="s">
        <v>30</v>
      </c>
      <c r="H8" s="4" t="s">
        <v>24</v>
      </c>
      <c r="I8" s="4" t="s">
        <v>20</v>
      </c>
      <c r="J8" s="4" t="s">
        <v>21</v>
      </c>
      <c r="K8" s="4" t="s">
        <v>30</v>
      </c>
      <c r="L8" s="4" t="s">
        <v>29</v>
      </c>
      <c r="M8" s="4" t="s">
        <v>30</v>
      </c>
      <c r="N8" s="4" t="s">
        <v>30</v>
      </c>
      <c r="O8" s="4" t="s">
        <v>33</v>
      </c>
      <c r="P8" s="4" t="s">
        <v>32</v>
      </c>
      <c r="Q8" s="4" t="s">
        <v>30</v>
      </c>
      <c r="R8" s="4" t="s">
        <v>33</v>
      </c>
      <c r="S8" s="4" t="s">
        <v>23</v>
      </c>
      <c r="T8" s="4" t="s">
        <v>28</v>
      </c>
      <c r="U8" s="4" t="s">
        <v>19</v>
      </c>
      <c r="V8" s="4" t="s">
        <v>22</v>
      </c>
      <c r="W8" s="4" t="s">
        <v>35</v>
      </c>
    </row>
    <row r="9" spans="1:23" x14ac:dyDescent="0.25">
      <c r="A9" s="3" t="s">
        <v>5</v>
      </c>
      <c r="B9" s="4" t="s">
        <v>20</v>
      </c>
      <c r="C9" s="4" t="s">
        <v>20</v>
      </c>
      <c r="D9" s="4" t="s">
        <v>20</v>
      </c>
      <c r="E9" s="4" t="s">
        <v>27</v>
      </c>
      <c r="F9" s="4" t="s">
        <v>20</v>
      </c>
      <c r="G9" s="4" t="s">
        <v>20</v>
      </c>
      <c r="H9" s="4" t="s">
        <v>20</v>
      </c>
      <c r="I9" s="4" t="s">
        <v>20</v>
      </c>
      <c r="J9" s="4" t="s">
        <v>21</v>
      </c>
      <c r="K9" s="4" t="s">
        <v>20</v>
      </c>
      <c r="L9" s="4" t="s">
        <v>29</v>
      </c>
      <c r="M9" s="4" t="s">
        <v>20</v>
      </c>
      <c r="N9" s="4" t="s">
        <v>20</v>
      </c>
      <c r="O9" s="4" t="s">
        <v>33</v>
      </c>
      <c r="P9" s="4" t="s">
        <v>32</v>
      </c>
      <c r="Q9" s="4" t="s">
        <v>20</v>
      </c>
      <c r="R9" s="4" t="s">
        <v>33</v>
      </c>
      <c r="S9" s="4" t="s">
        <v>23</v>
      </c>
      <c r="T9" s="4" t="s">
        <v>28</v>
      </c>
      <c r="U9" s="4" t="s">
        <v>23</v>
      </c>
      <c r="V9" s="4" t="s">
        <v>22</v>
      </c>
      <c r="W9" s="4" t="s">
        <v>35</v>
      </c>
    </row>
    <row r="10" spans="1:23" x14ac:dyDescent="0.25">
      <c r="A10" s="3" t="s">
        <v>6</v>
      </c>
      <c r="B10" s="4" t="s">
        <v>21</v>
      </c>
      <c r="C10" s="4" t="s">
        <v>21</v>
      </c>
      <c r="D10" s="4" t="s">
        <v>21</v>
      </c>
      <c r="E10" s="4" t="s">
        <v>27</v>
      </c>
      <c r="F10" s="4" t="s">
        <v>21</v>
      </c>
      <c r="G10" s="4" t="s">
        <v>21</v>
      </c>
      <c r="H10" s="4" t="s">
        <v>21</v>
      </c>
      <c r="I10" s="4" t="s">
        <v>21</v>
      </c>
      <c r="J10" s="4" t="s">
        <v>21</v>
      </c>
      <c r="K10" s="4" t="s">
        <v>21</v>
      </c>
      <c r="L10" s="4" t="s">
        <v>29</v>
      </c>
      <c r="M10" s="4" t="s">
        <v>21</v>
      </c>
      <c r="N10" s="4" t="s">
        <v>21</v>
      </c>
      <c r="O10" s="4" t="s">
        <v>33</v>
      </c>
      <c r="P10" s="4" t="s">
        <v>32</v>
      </c>
      <c r="Q10" s="4" t="s">
        <v>21</v>
      </c>
      <c r="R10" s="4" t="s">
        <v>33</v>
      </c>
      <c r="S10" s="4" t="s">
        <v>23</v>
      </c>
      <c r="T10" s="4" t="s">
        <v>28</v>
      </c>
      <c r="U10" s="4" t="s">
        <v>19</v>
      </c>
      <c r="V10" s="4" t="s">
        <v>21</v>
      </c>
      <c r="W10" s="4" t="s">
        <v>35</v>
      </c>
    </row>
    <row r="11" spans="1:23" x14ac:dyDescent="0.25">
      <c r="A11" s="3" t="s">
        <v>7</v>
      </c>
      <c r="B11" s="4" t="s">
        <v>19</v>
      </c>
      <c r="C11" s="4" t="s">
        <v>18</v>
      </c>
      <c r="D11" s="4" t="s">
        <v>17</v>
      </c>
      <c r="E11" s="4" t="s">
        <v>27</v>
      </c>
      <c r="F11" s="4" t="s">
        <v>30</v>
      </c>
      <c r="G11" s="4" t="s">
        <v>30</v>
      </c>
      <c r="H11" s="4" t="s">
        <v>30</v>
      </c>
      <c r="I11" s="4" t="s">
        <v>20</v>
      </c>
      <c r="J11" s="4" t="s">
        <v>21</v>
      </c>
      <c r="K11" s="4" t="s">
        <v>30</v>
      </c>
      <c r="L11" s="4" t="s">
        <v>29</v>
      </c>
      <c r="M11" s="4" t="s">
        <v>30</v>
      </c>
      <c r="N11" s="4" t="s">
        <v>30</v>
      </c>
      <c r="O11" s="4" t="s">
        <v>33</v>
      </c>
      <c r="P11" s="4" t="s">
        <v>32</v>
      </c>
      <c r="Q11" s="4" t="s">
        <v>30</v>
      </c>
      <c r="R11" s="4" t="s">
        <v>33</v>
      </c>
      <c r="S11" s="4" t="s">
        <v>23</v>
      </c>
      <c r="T11" s="4" t="s">
        <v>28</v>
      </c>
      <c r="U11" s="4" t="s">
        <v>19</v>
      </c>
      <c r="V11" s="4" t="s">
        <v>22</v>
      </c>
      <c r="W11" s="4" t="s">
        <v>35</v>
      </c>
    </row>
    <row r="12" spans="1:23" x14ac:dyDescent="0.25">
      <c r="A12" s="3" t="s">
        <v>8</v>
      </c>
      <c r="B12" s="4" t="s">
        <v>29</v>
      </c>
      <c r="C12" s="4" t="s">
        <v>29</v>
      </c>
      <c r="D12" s="4" t="s">
        <v>29</v>
      </c>
      <c r="E12" s="4" t="s">
        <v>27</v>
      </c>
      <c r="F12" s="4" t="s">
        <v>29</v>
      </c>
      <c r="G12" s="4" t="s">
        <v>29</v>
      </c>
      <c r="H12" s="4" t="s">
        <v>29</v>
      </c>
      <c r="I12" s="4" t="s">
        <v>29</v>
      </c>
      <c r="J12" s="4" t="s">
        <v>29</v>
      </c>
      <c r="K12" s="4" t="s">
        <v>29</v>
      </c>
      <c r="L12" s="4" t="s">
        <v>29</v>
      </c>
      <c r="M12" s="4" t="s">
        <v>29</v>
      </c>
      <c r="N12" s="4" t="s">
        <v>29</v>
      </c>
      <c r="O12" s="4" t="s">
        <v>33</v>
      </c>
      <c r="P12" s="4" t="s">
        <v>29</v>
      </c>
      <c r="Q12" s="4" t="s">
        <v>29</v>
      </c>
      <c r="R12" s="4" t="s">
        <v>33</v>
      </c>
      <c r="S12" s="4" t="s">
        <v>29</v>
      </c>
      <c r="T12" s="4" t="s">
        <v>28</v>
      </c>
      <c r="U12" s="4" t="s">
        <v>29</v>
      </c>
      <c r="V12" s="4" t="s">
        <v>29</v>
      </c>
      <c r="W12" s="4" t="s">
        <v>29</v>
      </c>
    </row>
    <row r="13" spans="1:23" x14ac:dyDescent="0.25">
      <c r="A13" s="3" t="s">
        <v>9</v>
      </c>
      <c r="B13" s="4" t="s">
        <v>19</v>
      </c>
      <c r="C13" s="4" t="s">
        <v>18</v>
      </c>
      <c r="D13" s="4" t="s">
        <v>17</v>
      </c>
      <c r="E13" s="4" t="s">
        <v>27</v>
      </c>
      <c r="F13" s="4" t="s">
        <v>30</v>
      </c>
      <c r="G13" s="4" t="s">
        <v>30</v>
      </c>
      <c r="H13" s="4" t="s">
        <v>30</v>
      </c>
      <c r="I13" s="4" t="s">
        <v>20</v>
      </c>
      <c r="J13" s="4" t="s">
        <v>21</v>
      </c>
      <c r="K13" s="4" t="s">
        <v>30</v>
      </c>
      <c r="L13" s="4" t="s">
        <v>29</v>
      </c>
      <c r="M13" s="4" t="s">
        <v>30</v>
      </c>
      <c r="N13" s="4" t="s">
        <v>30</v>
      </c>
      <c r="O13" s="4" t="s">
        <v>33</v>
      </c>
      <c r="P13" s="4" t="s">
        <v>32</v>
      </c>
      <c r="Q13" s="4" t="s">
        <v>30</v>
      </c>
      <c r="R13" s="4" t="s">
        <v>33</v>
      </c>
      <c r="S13" s="4" t="s">
        <v>23</v>
      </c>
      <c r="T13" s="4" t="s">
        <v>28</v>
      </c>
      <c r="U13" s="4" t="s">
        <v>19</v>
      </c>
      <c r="V13" s="4" t="s">
        <v>22</v>
      </c>
      <c r="W13" s="4" t="s">
        <v>35</v>
      </c>
    </row>
    <row r="14" spans="1:23" x14ac:dyDescent="0.25">
      <c r="A14" s="3" t="s">
        <v>10</v>
      </c>
      <c r="B14" s="4" t="s">
        <v>19</v>
      </c>
      <c r="C14" s="4" t="s">
        <v>18</v>
      </c>
      <c r="D14" s="4" t="s">
        <v>17</v>
      </c>
      <c r="E14" s="4" t="s">
        <v>27</v>
      </c>
      <c r="F14" s="4" t="s">
        <v>30</v>
      </c>
      <c r="G14" s="4" t="s">
        <v>30</v>
      </c>
      <c r="H14" s="4" t="s">
        <v>30</v>
      </c>
      <c r="I14" s="4" t="s">
        <v>20</v>
      </c>
      <c r="J14" s="4" t="s">
        <v>21</v>
      </c>
      <c r="K14" s="4" t="s">
        <v>30</v>
      </c>
      <c r="L14" s="4" t="s">
        <v>29</v>
      </c>
      <c r="M14" s="4" t="s">
        <v>30</v>
      </c>
      <c r="N14" s="4" t="s">
        <v>30</v>
      </c>
      <c r="O14" s="4" t="s">
        <v>33</v>
      </c>
      <c r="P14" s="4" t="s">
        <v>32</v>
      </c>
      <c r="Q14" s="4" t="s">
        <v>30</v>
      </c>
      <c r="R14" s="4" t="s">
        <v>33</v>
      </c>
      <c r="S14" s="4" t="s">
        <v>23</v>
      </c>
      <c r="T14" s="4" t="s">
        <v>28</v>
      </c>
      <c r="U14" s="4" t="s">
        <v>19</v>
      </c>
      <c r="V14" s="4" t="s">
        <v>22</v>
      </c>
      <c r="W14" s="4" t="s">
        <v>35</v>
      </c>
    </row>
    <row r="15" spans="1:23" x14ac:dyDescent="0.25">
      <c r="A15" s="3" t="s">
        <v>11</v>
      </c>
      <c r="B15" s="4" t="s">
        <v>33</v>
      </c>
      <c r="C15" s="4" t="s">
        <v>33</v>
      </c>
      <c r="D15" s="4" t="s">
        <v>33</v>
      </c>
      <c r="E15" s="4" t="s">
        <v>33</v>
      </c>
      <c r="F15" s="4" t="s">
        <v>33</v>
      </c>
      <c r="G15" s="4" t="s">
        <v>33</v>
      </c>
      <c r="H15" s="4" t="s">
        <v>33</v>
      </c>
      <c r="I15" s="4" t="s">
        <v>33</v>
      </c>
      <c r="J15" s="4" t="s">
        <v>33</v>
      </c>
      <c r="K15" s="4" t="s">
        <v>33</v>
      </c>
      <c r="L15" s="4" t="s">
        <v>33</v>
      </c>
      <c r="M15" s="4" t="s">
        <v>33</v>
      </c>
      <c r="N15" s="4" t="s">
        <v>33</v>
      </c>
      <c r="O15" s="4" t="s">
        <v>33</v>
      </c>
      <c r="P15" s="4" t="s">
        <v>33</v>
      </c>
      <c r="Q15" s="4" t="s">
        <v>33</v>
      </c>
      <c r="R15" s="4" t="s">
        <v>33</v>
      </c>
      <c r="S15" s="4" t="s">
        <v>33</v>
      </c>
      <c r="T15" s="4" t="s">
        <v>33</v>
      </c>
      <c r="U15" s="4" t="s">
        <v>33</v>
      </c>
      <c r="V15" s="4" t="s">
        <v>33</v>
      </c>
      <c r="W15" s="4" t="s">
        <v>33</v>
      </c>
    </row>
    <row r="16" spans="1:23" x14ac:dyDescent="0.25">
      <c r="A16" s="3" t="s">
        <v>12</v>
      </c>
      <c r="B16" s="4" t="s">
        <v>32</v>
      </c>
      <c r="C16" s="4" t="s">
        <v>32</v>
      </c>
      <c r="D16" s="4" t="s">
        <v>32</v>
      </c>
      <c r="E16" s="4" t="s">
        <v>27</v>
      </c>
      <c r="F16" s="4" t="s">
        <v>32</v>
      </c>
      <c r="G16" s="4" t="s">
        <v>32</v>
      </c>
      <c r="H16" s="4" t="s">
        <v>32</v>
      </c>
      <c r="I16" s="4" t="s">
        <v>32</v>
      </c>
      <c r="J16" s="4" t="s">
        <v>32</v>
      </c>
      <c r="K16" s="4" t="s">
        <v>32</v>
      </c>
      <c r="L16" s="4" t="s">
        <v>29</v>
      </c>
      <c r="M16" s="4" t="s">
        <v>32</v>
      </c>
      <c r="N16" s="4" t="s">
        <v>32</v>
      </c>
      <c r="O16" s="4" t="s">
        <v>33</v>
      </c>
      <c r="P16" s="4" t="s">
        <v>32</v>
      </c>
      <c r="Q16" s="4" t="s">
        <v>32</v>
      </c>
      <c r="R16" s="4" t="s">
        <v>33</v>
      </c>
      <c r="S16" s="4" t="s">
        <v>23</v>
      </c>
      <c r="T16" s="4" t="s">
        <v>28</v>
      </c>
      <c r="U16" s="4" t="s">
        <v>19</v>
      </c>
      <c r="V16" s="4" t="s">
        <v>22</v>
      </c>
      <c r="W16" s="4" t="s">
        <v>35</v>
      </c>
    </row>
    <row r="17" spans="1:23" x14ac:dyDescent="0.25">
      <c r="A17" s="3" t="s">
        <v>13</v>
      </c>
      <c r="B17" s="4" t="s">
        <v>19</v>
      </c>
      <c r="C17" s="4" t="s">
        <v>18</v>
      </c>
      <c r="D17" s="4" t="s">
        <v>17</v>
      </c>
      <c r="E17" s="4" t="s">
        <v>27</v>
      </c>
      <c r="F17" s="4" t="s">
        <v>30</v>
      </c>
      <c r="G17" s="4" t="s">
        <v>30</v>
      </c>
      <c r="H17" s="4" t="s">
        <v>30</v>
      </c>
      <c r="I17" s="4" t="s">
        <v>20</v>
      </c>
      <c r="J17" s="4" t="s">
        <v>21</v>
      </c>
      <c r="K17" s="4" t="s">
        <v>30</v>
      </c>
      <c r="L17" s="4" t="s">
        <v>29</v>
      </c>
      <c r="M17" s="4" t="s">
        <v>30</v>
      </c>
      <c r="N17" s="4" t="s">
        <v>30</v>
      </c>
      <c r="O17" s="4" t="s">
        <v>33</v>
      </c>
      <c r="P17" s="4" t="s">
        <v>32</v>
      </c>
      <c r="Q17" s="4" t="s">
        <v>30</v>
      </c>
      <c r="R17" s="4" t="s">
        <v>33</v>
      </c>
      <c r="S17" s="4" t="s">
        <v>23</v>
      </c>
      <c r="T17" s="4" t="s">
        <v>28</v>
      </c>
      <c r="U17" s="4" t="s">
        <v>19</v>
      </c>
      <c r="V17" s="4" t="s">
        <v>22</v>
      </c>
      <c r="W17" s="4" t="s">
        <v>35</v>
      </c>
    </row>
    <row r="18" spans="1:23" x14ac:dyDescent="0.25">
      <c r="A18" s="3" t="s">
        <v>31</v>
      </c>
      <c r="B18" s="4" t="s">
        <v>33</v>
      </c>
      <c r="C18" s="4" t="s">
        <v>33</v>
      </c>
      <c r="D18" s="4" t="s">
        <v>33</v>
      </c>
      <c r="E18" s="4" t="s">
        <v>33</v>
      </c>
      <c r="F18" s="4" t="s">
        <v>33</v>
      </c>
      <c r="G18" s="4" t="s">
        <v>33</v>
      </c>
      <c r="H18" s="4" t="s">
        <v>33</v>
      </c>
      <c r="I18" s="4" t="s">
        <v>33</v>
      </c>
      <c r="J18" s="4" t="s">
        <v>33</v>
      </c>
      <c r="K18" s="4" t="s">
        <v>33</v>
      </c>
      <c r="L18" s="4" t="s">
        <v>33</v>
      </c>
      <c r="M18" s="4" t="s">
        <v>33</v>
      </c>
      <c r="N18" s="4" t="s">
        <v>33</v>
      </c>
      <c r="O18" s="4" t="s">
        <v>33</v>
      </c>
      <c r="P18" s="4" t="s">
        <v>33</v>
      </c>
      <c r="Q18" s="4" t="s">
        <v>33</v>
      </c>
      <c r="R18" s="4" t="s">
        <v>33</v>
      </c>
      <c r="S18" s="4" t="s">
        <v>33</v>
      </c>
      <c r="T18" s="4" t="s">
        <v>33</v>
      </c>
      <c r="U18" s="4" t="s">
        <v>33</v>
      </c>
      <c r="V18" s="4" t="s">
        <v>33</v>
      </c>
      <c r="W18" s="4" t="s">
        <v>33</v>
      </c>
    </row>
    <row r="19" spans="1:23" x14ac:dyDescent="0.25">
      <c r="A19" s="3" t="s">
        <v>34</v>
      </c>
      <c r="B19" s="4" t="s">
        <v>23</v>
      </c>
      <c r="C19" s="4" t="s">
        <v>23</v>
      </c>
      <c r="D19" s="4" t="s">
        <v>23</v>
      </c>
      <c r="E19" s="4" t="s">
        <v>27</v>
      </c>
      <c r="F19" s="4" t="s">
        <v>23</v>
      </c>
      <c r="G19" s="4" t="s">
        <v>23</v>
      </c>
      <c r="H19" s="4" t="s">
        <v>23</v>
      </c>
      <c r="I19" s="4" t="s">
        <v>23</v>
      </c>
      <c r="J19" s="4" t="s">
        <v>23</v>
      </c>
      <c r="K19" s="4" t="s">
        <v>23</v>
      </c>
      <c r="L19" s="4" t="s">
        <v>29</v>
      </c>
      <c r="M19" s="4" t="s">
        <v>23</v>
      </c>
      <c r="N19" s="4" t="s">
        <v>23</v>
      </c>
      <c r="O19" s="4" t="s">
        <v>33</v>
      </c>
      <c r="P19" s="4" t="s">
        <v>23</v>
      </c>
      <c r="Q19" s="4" t="s">
        <v>23</v>
      </c>
      <c r="R19" s="4" t="s">
        <v>33</v>
      </c>
      <c r="S19" s="4" t="s">
        <v>23</v>
      </c>
      <c r="T19" s="4" t="s">
        <v>28</v>
      </c>
      <c r="U19" s="4" t="s">
        <v>19</v>
      </c>
      <c r="V19" s="4" t="s">
        <v>23</v>
      </c>
      <c r="W19" s="4" t="s">
        <v>23</v>
      </c>
    </row>
    <row r="20" spans="1:23" x14ac:dyDescent="0.25">
      <c r="A20" s="3" t="s">
        <v>36</v>
      </c>
      <c r="B20" s="4" t="s">
        <v>28</v>
      </c>
      <c r="C20" s="4" t="s">
        <v>28</v>
      </c>
      <c r="D20" s="4" t="s">
        <v>28</v>
      </c>
      <c r="E20" s="4" t="s">
        <v>27</v>
      </c>
      <c r="F20" s="4" t="s">
        <v>28</v>
      </c>
      <c r="G20" s="4" t="s">
        <v>28</v>
      </c>
      <c r="H20" s="4" t="s">
        <v>28</v>
      </c>
      <c r="I20" s="4" t="s">
        <v>28</v>
      </c>
      <c r="J20" s="4" t="s">
        <v>28</v>
      </c>
      <c r="K20" s="4" t="s">
        <v>28</v>
      </c>
      <c r="L20" s="4" t="s">
        <v>28</v>
      </c>
      <c r="M20" s="4" t="s">
        <v>28</v>
      </c>
      <c r="N20" s="4" t="s">
        <v>28</v>
      </c>
      <c r="O20" s="4" t="s">
        <v>33</v>
      </c>
      <c r="P20" s="4" t="s">
        <v>28</v>
      </c>
      <c r="Q20" s="4" t="s">
        <v>28</v>
      </c>
      <c r="R20" s="4" t="s">
        <v>33</v>
      </c>
      <c r="S20" s="4" t="s">
        <v>28</v>
      </c>
      <c r="T20" s="4" t="s">
        <v>38</v>
      </c>
      <c r="U20" s="4" t="s">
        <v>19</v>
      </c>
      <c r="V20" s="4" t="s">
        <v>37</v>
      </c>
      <c r="W20" s="4" t="s">
        <v>37</v>
      </c>
    </row>
    <row r="21" spans="1:23" x14ac:dyDescent="0.25">
      <c r="A21" s="3" t="s">
        <v>40</v>
      </c>
      <c r="B21" s="4" t="s">
        <v>22</v>
      </c>
      <c r="C21" s="4" t="s">
        <v>22</v>
      </c>
      <c r="D21" s="4" t="s">
        <v>22</v>
      </c>
      <c r="E21" s="4" t="s">
        <v>22</v>
      </c>
      <c r="F21" s="4" t="s">
        <v>22</v>
      </c>
      <c r="G21" s="4" t="s">
        <v>22</v>
      </c>
      <c r="H21" s="4" t="s">
        <v>22</v>
      </c>
      <c r="I21" s="4" t="s">
        <v>22</v>
      </c>
      <c r="J21" s="4" t="s">
        <v>21</v>
      </c>
      <c r="K21" s="4" t="s">
        <v>22</v>
      </c>
      <c r="L21" s="4" t="s">
        <v>29</v>
      </c>
      <c r="M21" s="4" t="s">
        <v>22</v>
      </c>
      <c r="N21" s="4" t="s">
        <v>22</v>
      </c>
      <c r="O21" s="4" t="s">
        <v>33</v>
      </c>
      <c r="P21" s="4" t="s">
        <v>22</v>
      </c>
      <c r="Q21" s="4" t="s">
        <v>22</v>
      </c>
      <c r="R21" s="4" t="s">
        <v>33</v>
      </c>
      <c r="S21" s="4" t="s">
        <v>23</v>
      </c>
      <c r="T21" s="4" t="s">
        <v>37</v>
      </c>
      <c r="U21" s="4" t="s">
        <v>19</v>
      </c>
      <c r="V21" s="4" t="s">
        <v>22</v>
      </c>
      <c r="W21" s="4" t="s">
        <v>30</v>
      </c>
    </row>
    <row r="22" spans="1:23" x14ac:dyDescent="0.25">
      <c r="A22" s="3" t="s">
        <v>41</v>
      </c>
      <c r="B22" s="4" t="s">
        <v>35</v>
      </c>
      <c r="C22" s="4" t="s">
        <v>35</v>
      </c>
      <c r="D22" s="4" t="s">
        <v>35</v>
      </c>
      <c r="E22" s="4" t="s">
        <v>35</v>
      </c>
      <c r="F22" s="4" t="s">
        <v>35</v>
      </c>
      <c r="G22" s="4" t="s">
        <v>35</v>
      </c>
      <c r="H22" s="4" t="s">
        <v>35</v>
      </c>
      <c r="I22" s="4" t="s">
        <v>35</v>
      </c>
      <c r="J22" s="4" t="s">
        <v>35</v>
      </c>
      <c r="K22" s="4" t="s">
        <v>35</v>
      </c>
      <c r="L22" s="4" t="s">
        <v>29</v>
      </c>
      <c r="M22" s="4" t="s">
        <v>35</v>
      </c>
      <c r="N22" s="4" t="s">
        <v>35</v>
      </c>
      <c r="O22" s="4" t="s">
        <v>33</v>
      </c>
      <c r="P22" s="4" t="s">
        <v>35</v>
      </c>
      <c r="Q22" s="4" t="s">
        <v>35</v>
      </c>
      <c r="R22" s="4" t="s">
        <v>33</v>
      </c>
      <c r="S22" s="4" t="s">
        <v>23</v>
      </c>
      <c r="T22" s="4" t="s">
        <v>37</v>
      </c>
      <c r="U22" s="4" t="s">
        <v>19</v>
      </c>
      <c r="V22" s="4" t="s">
        <v>30</v>
      </c>
      <c r="W22" s="4" t="s">
        <v>35</v>
      </c>
    </row>
    <row r="23" spans="1:23" x14ac:dyDescent="0.25">
      <c r="A23" s="3" t="s">
        <v>39</v>
      </c>
      <c r="B23" s="4" t="s">
        <v>19</v>
      </c>
      <c r="C23" s="4" t="s">
        <v>19</v>
      </c>
      <c r="D23" s="4" t="s">
        <v>19</v>
      </c>
      <c r="E23" s="4" t="s">
        <v>19</v>
      </c>
      <c r="F23" s="4" t="s">
        <v>23</v>
      </c>
      <c r="G23" s="4" t="s">
        <v>19</v>
      </c>
      <c r="H23" s="4" t="s">
        <v>19</v>
      </c>
      <c r="I23" s="4" t="s">
        <v>23</v>
      </c>
      <c r="J23" s="4" t="s">
        <v>19</v>
      </c>
      <c r="K23" s="4" t="s">
        <v>19</v>
      </c>
      <c r="L23" s="4" t="s">
        <v>29</v>
      </c>
      <c r="M23" s="4" t="s">
        <v>19</v>
      </c>
      <c r="N23" s="4" t="s">
        <v>19</v>
      </c>
      <c r="O23" s="4" t="s">
        <v>33</v>
      </c>
      <c r="P23" s="4" t="s">
        <v>19</v>
      </c>
      <c r="Q23" s="4" t="s">
        <v>19</v>
      </c>
      <c r="R23" s="4" t="s">
        <v>33</v>
      </c>
      <c r="S23" s="4" t="s">
        <v>19</v>
      </c>
      <c r="T23" s="4" t="s">
        <v>19</v>
      </c>
      <c r="U23" s="4" t="s">
        <v>23</v>
      </c>
      <c r="V23" s="4" t="s">
        <v>19</v>
      </c>
      <c r="W23" s="4" t="s">
        <v>19</v>
      </c>
    </row>
    <row r="25" spans="1:23" x14ac:dyDescent="0.25">
      <c r="U25" s="1"/>
      <c r="V25" s="1"/>
    </row>
  </sheetData>
  <phoneticPr fontId="3" type="noConversion"/>
  <conditionalFormatting sqref="B2:U23">
    <cfRule type="expression" dxfId="50" priority="4">
      <formula>B2&lt;&gt;INDEX($B$2:$W$23,            MATCH(B$1,$A$2:$A$23,0),            MATCH($A2,$B$1:$W$1,0))</formula>
    </cfRule>
  </conditionalFormatting>
  <conditionalFormatting sqref="V23:W23">
    <cfRule type="expression" dxfId="49" priority="2">
      <formula>V23&lt;&gt;INDEX($B$2:$W$23,            MATCH(V$1,$A$2:$A$23,0),            MATCH($A23,$B$1:$W$1,0))</formula>
    </cfRule>
  </conditionalFormatting>
  <conditionalFormatting sqref="W10">
    <cfRule type="expression" dxfId="48" priority="1">
      <formula>W10&lt;&gt;INDEX($B$2:$W$23,            MATCH(W$1,$A$2:$A$23,0),            MATCH($A10,$B$1:$W$1,0))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ADC42-97C9-48CA-AEE0-299B5F6ED121}">
  <dimension ref="A1:B45"/>
  <sheetViews>
    <sheetView workbookViewId="0">
      <selection activeCell="A18" sqref="A18"/>
    </sheetView>
  </sheetViews>
  <sheetFormatPr defaultRowHeight="15" x14ac:dyDescent="0.25"/>
  <cols>
    <col min="1" max="1" width="21" style="1" bestFit="1" customWidth="1"/>
    <col min="2" max="2" width="45" style="1" bestFit="1" customWidth="1"/>
    <col min="3" max="16384" width="9.140625" style="1"/>
  </cols>
  <sheetData>
    <row r="1" spans="1:2" x14ac:dyDescent="0.25">
      <c r="A1" s="6" t="s">
        <v>8</v>
      </c>
      <c r="B1" s="6" t="s">
        <v>29</v>
      </c>
    </row>
    <row r="2" spans="1:2" x14ac:dyDescent="0.25">
      <c r="A2" s="7"/>
    </row>
    <row r="3" spans="1:2" x14ac:dyDescent="0.25">
      <c r="A3" s="6" t="s">
        <v>42</v>
      </c>
      <c r="B3" s="6" t="s">
        <v>19</v>
      </c>
    </row>
    <row r="4" spans="1:2" x14ac:dyDescent="0.25">
      <c r="A4" s="8" t="s">
        <v>43</v>
      </c>
      <c r="B4" s="8" t="s">
        <v>44</v>
      </c>
    </row>
    <row r="5" spans="1:2" x14ac:dyDescent="0.25">
      <c r="A5" s="7"/>
    </row>
    <row r="6" spans="1:2" x14ac:dyDescent="0.25">
      <c r="A6" s="6" t="s">
        <v>45</v>
      </c>
      <c r="B6" s="6" t="s">
        <v>17</v>
      </c>
    </row>
    <row r="7" spans="1:2" x14ac:dyDescent="0.25">
      <c r="A7" s="8" t="s">
        <v>46</v>
      </c>
      <c r="B7" s="8" t="s">
        <v>47</v>
      </c>
    </row>
    <row r="8" spans="1:2" x14ac:dyDescent="0.25">
      <c r="A8" s="9" t="s">
        <v>48</v>
      </c>
      <c r="B8" s="9" t="s">
        <v>49</v>
      </c>
    </row>
    <row r="9" spans="1:2" x14ac:dyDescent="0.25">
      <c r="A9" s="8" t="s">
        <v>43</v>
      </c>
      <c r="B9" s="8" t="s">
        <v>50</v>
      </c>
    </row>
    <row r="10" spans="1:2" x14ac:dyDescent="0.25">
      <c r="A10" s="8" t="s">
        <v>51</v>
      </c>
      <c r="B10" s="8" t="s">
        <v>52</v>
      </c>
    </row>
    <row r="11" spans="1:2" s="11" customFormat="1" ht="11.25" x14ac:dyDescent="0.2">
      <c r="A11" s="10"/>
    </row>
    <row r="12" spans="1:2" x14ac:dyDescent="0.25">
      <c r="A12" s="6" t="s">
        <v>53</v>
      </c>
      <c r="B12" s="6" t="s">
        <v>18</v>
      </c>
    </row>
    <row r="13" spans="1:2" x14ac:dyDescent="0.25">
      <c r="A13" s="8" t="s">
        <v>43</v>
      </c>
      <c r="B13" s="8" t="s">
        <v>54</v>
      </c>
    </row>
    <row r="14" spans="1:2" s="11" customFormat="1" ht="11.25" x14ac:dyDescent="0.2">
      <c r="A14" s="10"/>
    </row>
    <row r="15" spans="1:2" x14ac:dyDescent="0.25">
      <c r="A15" s="6" t="s">
        <v>5</v>
      </c>
      <c r="B15" s="6" t="s">
        <v>20</v>
      </c>
    </row>
    <row r="16" spans="1:2" x14ac:dyDescent="0.25">
      <c r="A16" s="8" t="s">
        <v>55</v>
      </c>
      <c r="B16" s="8" t="s">
        <v>32</v>
      </c>
    </row>
    <row r="17" spans="1:2" x14ac:dyDescent="0.25">
      <c r="A17" s="8" t="s">
        <v>56</v>
      </c>
      <c r="B17" s="8" t="s">
        <v>21</v>
      </c>
    </row>
    <row r="18" spans="1:2" x14ac:dyDescent="0.25">
      <c r="A18" s="9" t="s">
        <v>57</v>
      </c>
      <c r="B18" s="9" t="s">
        <v>22</v>
      </c>
    </row>
    <row r="19" spans="1:2" x14ac:dyDescent="0.25">
      <c r="A19" s="9" t="s">
        <v>58</v>
      </c>
      <c r="B19" s="9" t="s">
        <v>59</v>
      </c>
    </row>
    <row r="20" spans="1:2" x14ac:dyDescent="0.25">
      <c r="A20" s="8" t="s">
        <v>60</v>
      </c>
      <c r="B20" s="8" t="s">
        <v>35</v>
      </c>
    </row>
    <row r="21" spans="1:2" x14ac:dyDescent="0.25">
      <c r="A21" s="8" t="s">
        <v>61</v>
      </c>
      <c r="B21" s="8" t="s">
        <v>23</v>
      </c>
    </row>
    <row r="22" spans="1:2" x14ac:dyDescent="0.25">
      <c r="A22" s="9" t="s">
        <v>62</v>
      </c>
      <c r="B22" s="9" t="s">
        <v>63</v>
      </c>
    </row>
    <row r="23" spans="1:2" x14ac:dyDescent="0.25">
      <c r="A23" s="9" t="s">
        <v>64</v>
      </c>
      <c r="B23" s="9" t="s">
        <v>65</v>
      </c>
    </row>
    <row r="24" spans="1:2" x14ac:dyDescent="0.25">
      <c r="A24" s="9" t="s">
        <v>66</v>
      </c>
      <c r="B24" s="9" t="s">
        <v>67</v>
      </c>
    </row>
    <row r="25" spans="1:2" x14ac:dyDescent="0.25">
      <c r="A25" s="9" t="s">
        <v>68</v>
      </c>
      <c r="B25" s="9" t="s">
        <v>69</v>
      </c>
    </row>
    <row r="26" spans="1:2" s="11" customFormat="1" ht="11.25" x14ac:dyDescent="0.2">
      <c r="A26" s="10"/>
    </row>
    <row r="27" spans="1:2" s="11" customFormat="1" x14ac:dyDescent="0.2">
      <c r="A27" s="6" t="s">
        <v>70</v>
      </c>
      <c r="B27" s="6" t="s">
        <v>28</v>
      </c>
    </row>
    <row r="28" spans="1:2" s="11" customFormat="1" x14ac:dyDescent="0.2">
      <c r="A28" s="6" t="s">
        <v>71</v>
      </c>
      <c r="B28" s="6" t="s">
        <v>72</v>
      </c>
    </row>
    <row r="29" spans="1:2" s="11" customFormat="1" x14ac:dyDescent="0.2">
      <c r="A29" s="6" t="s">
        <v>73</v>
      </c>
      <c r="B29" s="6" t="s">
        <v>27</v>
      </c>
    </row>
    <row r="30" spans="1:2" s="11" customFormat="1" x14ac:dyDescent="0.2">
      <c r="A30" s="6" t="s">
        <v>74</v>
      </c>
      <c r="B30" s="6" t="s">
        <v>30</v>
      </c>
    </row>
    <row r="31" spans="1:2" s="11" customFormat="1" ht="11.25" x14ac:dyDescent="0.2">
      <c r="A31" s="10"/>
    </row>
    <row r="32" spans="1:2" x14ac:dyDescent="0.25">
      <c r="A32" s="6" t="s">
        <v>75</v>
      </c>
      <c r="B32" s="6" t="s">
        <v>76</v>
      </c>
    </row>
    <row r="33" spans="1:2" x14ac:dyDescent="0.25">
      <c r="A33" s="8" t="s">
        <v>77</v>
      </c>
      <c r="B33" s="8" t="s">
        <v>26</v>
      </c>
    </row>
    <row r="34" spans="1:2" x14ac:dyDescent="0.25">
      <c r="A34" s="9" t="s">
        <v>57</v>
      </c>
      <c r="B34" s="9" t="s">
        <v>78</v>
      </c>
    </row>
    <row r="35" spans="1:2" x14ac:dyDescent="0.25">
      <c r="A35" s="8" t="s">
        <v>79</v>
      </c>
      <c r="B35" s="8" t="s">
        <v>25</v>
      </c>
    </row>
    <row r="36" spans="1:2" x14ac:dyDescent="0.25">
      <c r="A36" s="8" t="s">
        <v>80</v>
      </c>
      <c r="B36" s="8" t="s">
        <v>24</v>
      </c>
    </row>
    <row r="37" spans="1:2" s="11" customFormat="1" ht="11.25" x14ac:dyDescent="0.2"/>
    <row r="38" spans="1:2" x14ac:dyDescent="0.25">
      <c r="A38" s="6" t="s">
        <v>81</v>
      </c>
      <c r="B38" s="6" t="s">
        <v>33</v>
      </c>
    </row>
    <row r="39" spans="1:2" s="11" customFormat="1" ht="11.25" x14ac:dyDescent="0.2"/>
    <row r="40" spans="1:2" s="11" customFormat="1" ht="11.25" x14ac:dyDescent="0.2"/>
    <row r="41" spans="1:2" s="11" customFormat="1" ht="11.25" x14ac:dyDescent="0.2"/>
    <row r="42" spans="1:2" s="11" customFormat="1" ht="11.25" x14ac:dyDescent="0.2"/>
    <row r="43" spans="1:2" s="11" customFormat="1" ht="11.25" x14ac:dyDescent="0.2"/>
    <row r="44" spans="1:2" s="11" customFormat="1" ht="11.25" x14ac:dyDescent="0.2"/>
    <row r="45" spans="1:2" s="11" customFormat="1" ht="11.25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80557-0950-4DD7-A756-10F38E59B49B}">
  <dimension ref="A1:W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" sqref="D3"/>
    </sheetView>
  </sheetViews>
  <sheetFormatPr defaultColWidth="14.7109375" defaultRowHeight="15" x14ac:dyDescent="0.25"/>
  <cols>
    <col min="1" max="1" width="21.42578125" style="1" bestFit="1" customWidth="1"/>
    <col min="2" max="18" width="15.5703125" style="1" customWidth="1"/>
    <col min="19" max="20" width="14.7109375" style="1"/>
    <col min="21" max="22" width="14.7109375" style="5"/>
    <col min="23" max="16384" width="14.7109375" style="1"/>
  </cols>
  <sheetData>
    <row r="1" spans="1:23" x14ac:dyDescent="0.25">
      <c r="A1" s="2" t="s">
        <v>108</v>
      </c>
      <c r="B1" s="3" t="str">
        <f>A2</f>
        <v>Hallway-of-Doorknobs</v>
      </c>
      <c r="C1" s="3" t="str">
        <f>A3</f>
        <v>Untitled-Libby</v>
      </c>
      <c r="D1" s="3" t="str">
        <f>A4</f>
        <v>Workbook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31</v>
      </c>
      <c r="S1" s="3" t="s">
        <v>34</v>
      </c>
      <c r="T1" s="3" t="s">
        <v>36</v>
      </c>
      <c r="U1" s="3" t="s">
        <v>40</v>
      </c>
      <c r="V1" s="3" t="s">
        <v>41</v>
      </c>
      <c r="W1" s="3" t="s">
        <v>39</v>
      </c>
    </row>
    <row r="2" spans="1:23" x14ac:dyDescent="0.25">
      <c r="A2" s="3" t="s">
        <v>105</v>
      </c>
      <c r="B2" s="4" t="s">
        <v>84</v>
      </c>
      <c r="C2" s="4" t="s">
        <v>74</v>
      </c>
      <c r="D2" s="4" t="s">
        <v>74</v>
      </c>
      <c r="E2" s="4" t="s">
        <v>73</v>
      </c>
      <c r="F2" s="4" t="s">
        <v>84</v>
      </c>
      <c r="G2" s="4" t="s">
        <v>84</v>
      </c>
      <c r="H2" s="4" t="s">
        <v>84</v>
      </c>
      <c r="I2" s="4" t="s">
        <v>5</v>
      </c>
      <c r="J2" s="4" t="s">
        <v>5</v>
      </c>
      <c r="K2" s="4" t="s">
        <v>84</v>
      </c>
      <c r="L2" s="4" t="s">
        <v>8</v>
      </c>
      <c r="M2" s="4" t="s">
        <v>84</v>
      </c>
      <c r="N2" s="4" t="s">
        <v>84</v>
      </c>
      <c r="O2" s="4" t="s">
        <v>84</v>
      </c>
      <c r="P2" s="4" t="s">
        <v>55</v>
      </c>
      <c r="Q2" s="4" t="s">
        <v>84</v>
      </c>
      <c r="R2" s="4" t="s">
        <v>31</v>
      </c>
      <c r="S2" s="4" t="s">
        <v>61</v>
      </c>
      <c r="T2" s="4" t="s">
        <v>70</v>
      </c>
      <c r="U2" s="4" t="s">
        <v>77</v>
      </c>
      <c r="V2" s="4" t="s">
        <v>77</v>
      </c>
      <c r="W2" s="4" t="s">
        <v>77</v>
      </c>
    </row>
    <row r="3" spans="1:23" x14ac:dyDescent="0.25">
      <c r="A3" s="3" t="s">
        <v>106</v>
      </c>
      <c r="B3" s="4" t="s">
        <v>74</v>
      </c>
      <c r="C3" s="4" t="s">
        <v>87</v>
      </c>
      <c r="D3" s="4" t="s">
        <v>74</v>
      </c>
      <c r="E3" s="4" t="s">
        <v>73</v>
      </c>
      <c r="F3" s="4" t="s">
        <v>87</v>
      </c>
      <c r="G3" s="4" t="s">
        <v>87</v>
      </c>
      <c r="H3" s="4" t="s">
        <v>87</v>
      </c>
      <c r="I3" s="4" t="s">
        <v>5</v>
      </c>
      <c r="J3" s="4" t="s">
        <v>5</v>
      </c>
      <c r="K3" s="4" t="s">
        <v>87</v>
      </c>
      <c r="L3" s="4" t="s">
        <v>8</v>
      </c>
      <c r="M3" s="4" t="s">
        <v>87</v>
      </c>
      <c r="N3" s="4" t="s">
        <v>87</v>
      </c>
      <c r="O3" s="4" t="s">
        <v>87</v>
      </c>
      <c r="P3" s="4" t="s">
        <v>55</v>
      </c>
      <c r="Q3" s="4" t="s">
        <v>87</v>
      </c>
      <c r="R3" s="4" t="s">
        <v>31</v>
      </c>
      <c r="S3" s="4" t="s">
        <v>61</v>
      </c>
      <c r="T3" s="4" t="s">
        <v>70</v>
      </c>
      <c r="U3" s="4" t="s">
        <v>77</v>
      </c>
      <c r="V3" s="4" t="s">
        <v>77</v>
      </c>
      <c r="W3" s="4" t="s">
        <v>77</v>
      </c>
    </row>
    <row r="4" spans="1:23" x14ac:dyDescent="0.25">
      <c r="A4" s="3" t="s">
        <v>107</v>
      </c>
      <c r="B4" s="4" t="s">
        <v>74</v>
      </c>
      <c r="C4" s="4" t="s">
        <v>74</v>
      </c>
      <c r="D4" s="4" t="s">
        <v>90</v>
      </c>
      <c r="E4" s="4" t="s">
        <v>73</v>
      </c>
      <c r="F4" s="4" t="s">
        <v>90</v>
      </c>
      <c r="G4" s="4" t="s">
        <v>90</v>
      </c>
      <c r="H4" s="4" t="s">
        <v>90</v>
      </c>
      <c r="I4" s="4" t="s">
        <v>5</v>
      </c>
      <c r="J4" s="4" t="s">
        <v>5</v>
      </c>
      <c r="K4" s="4" t="s">
        <v>90</v>
      </c>
      <c r="L4" s="4" t="s">
        <v>8</v>
      </c>
      <c r="M4" s="4" t="s">
        <v>90</v>
      </c>
      <c r="N4" s="4" t="s">
        <v>90</v>
      </c>
      <c r="O4" s="4" t="s">
        <v>90</v>
      </c>
      <c r="P4" s="4" t="s">
        <v>55</v>
      </c>
      <c r="Q4" s="4" t="s">
        <v>90</v>
      </c>
      <c r="R4" s="4" t="s">
        <v>31</v>
      </c>
      <c r="S4" s="4" t="s">
        <v>61</v>
      </c>
      <c r="T4" s="4" t="s">
        <v>70</v>
      </c>
      <c r="U4" s="4" t="s">
        <v>77</v>
      </c>
      <c r="V4" s="4" t="s">
        <v>77</v>
      </c>
      <c r="W4" s="4" t="s">
        <v>77</v>
      </c>
    </row>
    <row r="5" spans="1:23" x14ac:dyDescent="0.25">
      <c r="A5" s="3" t="s">
        <v>1</v>
      </c>
      <c r="B5" s="4" t="s">
        <v>73</v>
      </c>
      <c r="C5" s="4" t="s">
        <v>73</v>
      </c>
      <c r="D5" s="4" t="s">
        <v>73</v>
      </c>
      <c r="E5" s="4" t="s">
        <v>73</v>
      </c>
      <c r="F5" s="4" t="s">
        <v>73</v>
      </c>
      <c r="G5" s="4" t="s">
        <v>73</v>
      </c>
      <c r="H5" s="4" t="s">
        <v>73</v>
      </c>
      <c r="I5" s="4" t="s">
        <v>73</v>
      </c>
      <c r="J5" s="4" t="s">
        <v>73</v>
      </c>
      <c r="K5" s="4" t="s">
        <v>73</v>
      </c>
      <c r="L5" s="4" t="s">
        <v>73</v>
      </c>
      <c r="M5" s="4" t="s">
        <v>73</v>
      </c>
      <c r="N5" s="4" t="s">
        <v>73</v>
      </c>
      <c r="O5" s="4" t="s">
        <v>73</v>
      </c>
      <c r="P5" s="4" t="s">
        <v>73</v>
      </c>
      <c r="Q5" s="4" t="s">
        <v>73</v>
      </c>
      <c r="R5" s="4" t="s">
        <v>31</v>
      </c>
      <c r="S5" s="4" t="s">
        <v>73</v>
      </c>
      <c r="T5" s="4" t="s">
        <v>73</v>
      </c>
      <c r="U5" s="4" t="s">
        <v>73</v>
      </c>
      <c r="V5" s="4" t="s">
        <v>73</v>
      </c>
      <c r="W5" s="4" t="s">
        <v>73</v>
      </c>
    </row>
    <row r="6" spans="1:23" x14ac:dyDescent="0.25">
      <c r="A6" s="3" t="s">
        <v>2</v>
      </c>
      <c r="B6" s="4" t="s">
        <v>84</v>
      </c>
      <c r="C6" s="4" t="s">
        <v>87</v>
      </c>
      <c r="D6" s="4" t="s">
        <v>90</v>
      </c>
      <c r="E6" s="4" t="s">
        <v>73</v>
      </c>
      <c r="F6" s="4" t="s">
        <v>77</v>
      </c>
      <c r="G6" s="4" t="s">
        <v>77</v>
      </c>
      <c r="H6" s="4" t="s">
        <v>77</v>
      </c>
      <c r="I6" s="4" t="s">
        <v>77</v>
      </c>
      <c r="J6" s="4" t="s">
        <v>77</v>
      </c>
      <c r="K6" s="4" t="s">
        <v>77</v>
      </c>
      <c r="L6" s="4" t="s">
        <v>8</v>
      </c>
      <c r="M6" s="4" t="s">
        <v>77</v>
      </c>
      <c r="N6" s="4" t="s">
        <v>77</v>
      </c>
      <c r="O6" s="4" t="s">
        <v>31</v>
      </c>
      <c r="P6" s="4" t="s">
        <v>55</v>
      </c>
      <c r="Q6" s="4" t="s">
        <v>77</v>
      </c>
      <c r="R6" s="4" t="s">
        <v>31</v>
      </c>
      <c r="S6" s="4" t="s">
        <v>61</v>
      </c>
      <c r="T6" s="4" t="s">
        <v>70</v>
      </c>
      <c r="U6" s="4" t="s">
        <v>77</v>
      </c>
      <c r="V6" s="4" t="s">
        <v>77</v>
      </c>
      <c r="W6" s="4" t="s">
        <v>77</v>
      </c>
    </row>
    <row r="7" spans="1:23" x14ac:dyDescent="0.25">
      <c r="A7" s="3" t="s">
        <v>3</v>
      </c>
      <c r="B7" s="4" t="s">
        <v>84</v>
      </c>
      <c r="C7" s="4" t="s">
        <v>87</v>
      </c>
      <c r="D7" s="4" t="s">
        <v>90</v>
      </c>
      <c r="E7" s="4" t="s">
        <v>73</v>
      </c>
      <c r="F7" s="4" t="s">
        <v>77</v>
      </c>
      <c r="G7" s="4" t="s">
        <v>79</v>
      </c>
      <c r="H7" s="4" t="s">
        <v>79</v>
      </c>
      <c r="I7" s="4" t="s">
        <v>79</v>
      </c>
      <c r="J7" s="4" t="s">
        <v>79</v>
      </c>
      <c r="K7" s="4" t="s">
        <v>79</v>
      </c>
      <c r="L7" s="4" t="s">
        <v>8</v>
      </c>
      <c r="M7" s="4" t="s">
        <v>79</v>
      </c>
      <c r="N7" s="4" t="s">
        <v>79</v>
      </c>
      <c r="O7" s="4" t="s">
        <v>31</v>
      </c>
      <c r="P7" s="4" t="s">
        <v>55</v>
      </c>
      <c r="Q7" s="4" t="s">
        <v>79</v>
      </c>
      <c r="R7" s="4" t="s">
        <v>31</v>
      </c>
      <c r="S7" s="4" t="s">
        <v>61</v>
      </c>
      <c r="T7" s="4" t="s">
        <v>70</v>
      </c>
      <c r="U7" s="4" t="s">
        <v>77</v>
      </c>
      <c r="V7" s="4" t="s">
        <v>77</v>
      </c>
      <c r="W7" s="4" t="s">
        <v>77</v>
      </c>
    </row>
    <row r="8" spans="1:23" x14ac:dyDescent="0.25">
      <c r="A8" s="3" t="s">
        <v>4</v>
      </c>
      <c r="B8" s="4" t="s">
        <v>84</v>
      </c>
      <c r="C8" s="4" t="s">
        <v>87</v>
      </c>
      <c r="D8" s="4" t="s">
        <v>90</v>
      </c>
      <c r="E8" s="4" t="s">
        <v>73</v>
      </c>
      <c r="F8" s="4" t="s">
        <v>77</v>
      </c>
      <c r="G8" s="4" t="s">
        <v>79</v>
      </c>
      <c r="H8" s="4" t="s">
        <v>80</v>
      </c>
      <c r="I8" s="4" t="s">
        <v>80</v>
      </c>
      <c r="J8" s="4" t="s">
        <v>80</v>
      </c>
      <c r="K8" s="4" t="s">
        <v>80</v>
      </c>
      <c r="L8" s="4" t="s">
        <v>8</v>
      </c>
      <c r="M8" s="4" t="s">
        <v>80</v>
      </c>
      <c r="N8" s="4" t="s">
        <v>80</v>
      </c>
      <c r="O8" s="4" t="s">
        <v>31</v>
      </c>
      <c r="P8" s="4" t="s">
        <v>55</v>
      </c>
      <c r="Q8" s="4" t="s">
        <v>80</v>
      </c>
      <c r="R8" s="4" t="s">
        <v>31</v>
      </c>
      <c r="S8" s="4" t="s">
        <v>61</v>
      </c>
      <c r="T8" s="4" t="s">
        <v>70</v>
      </c>
      <c r="U8" s="4" t="s">
        <v>77</v>
      </c>
      <c r="V8" s="4" t="s">
        <v>77</v>
      </c>
      <c r="W8" s="4" t="s">
        <v>77</v>
      </c>
    </row>
    <row r="9" spans="1:23" x14ac:dyDescent="0.25">
      <c r="A9" s="3" t="s">
        <v>5</v>
      </c>
      <c r="B9" s="4" t="s">
        <v>5</v>
      </c>
      <c r="C9" s="4" t="s">
        <v>5</v>
      </c>
      <c r="D9" s="4" t="s">
        <v>5</v>
      </c>
      <c r="E9" s="4" t="s">
        <v>73</v>
      </c>
      <c r="F9" s="4" t="s">
        <v>77</v>
      </c>
      <c r="G9" s="4" t="s">
        <v>79</v>
      </c>
      <c r="H9" s="4" t="s">
        <v>80</v>
      </c>
      <c r="I9" s="4" t="s">
        <v>5</v>
      </c>
      <c r="J9" s="4" t="s">
        <v>5</v>
      </c>
      <c r="K9" s="4" t="s">
        <v>5</v>
      </c>
      <c r="L9" s="4" t="s">
        <v>8</v>
      </c>
      <c r="M9" s="4" t="s">
        <v>5</v>
      </c>
      <c r="N9" s="4" t="s">
        <v>5</v>
      </c>
      <c r="O9" s="4" t="s">
        <v>31</v>
      </c>
      <c r="P9" s="4" t="s">
        <v>55</v>
      </c>
      <c r="Q9" s="4" t="s">
        <v>5</v>
      </c>
      <c r="R9" s="4" t="s">
        <v>31</v>
      </c>
      <c r="S9" s="4" t="s">
        <v>61</v>
      </c>
      <c r="T9" s="4" t="s">
        <v>70</v>
      </c>
      <c r="U9" s="4" t="s">
        <v>77</v>
      </c>
      <c r="V9" s="4" t="s">
        <v>77</v>
      </c>
      <c r="W9" s="4" t="s">
        <v>77</v>
      </c>
    </row>
    <row r="10" spans="1:23" x14ac:dyDescent="0.25">
      <c r="A10" s="3" t="s">
        <v>6</v>
      </c>
      <c r="B10" s="4" t="s">
        <v>5</v>
      </c>
      <c r="C10" s="4" t="s">
        <v>5</v>
      </c>
      <c r="D10" s="4" t="s">
        <v>5</v>
      </c>
      <c r="E10" s="4" t="s">
        <v>73</v>
      </c>
      <c r="F10" s="4" t="s">
        <v>77</v>
      </c>
      <c r="G10" s="4" t="s">
        <v>79</v>
      </c>
      <c r="H10" s="4" t="s">
        <v>80</v>
      </c>
      <c r="I10" s="4" t="s">
        <v>5</v>
      </c>
      <c r="J10" s="4" t="s">
        <v>5</v>
      </c>
      <c r="K10" s="4" t="s">
        <v>5</v>
      </c>
      <c r="L10" s="4" t="s">
        <v>8</v>
      </c>
      <c r="M10" s="4" t="s">
        <v>5</v>
      </c>
      <c r="N10" s="4" t="s">
        <v>5</v>
      </c>
      <c r="O10" s="4" t="s">
        <v>31</v>
      </c>
      <c r="P10" s="4" t="s">
        <v>55</v>
      </c>
      <c r="Q10" s="4" t="s">
        <v>5</v>
      </c>
      <c r="R10" s="4" t="s">
        <v>31</v>
      </c>
      <c r="S10" s="4" t="s">
        <v>61</v>
      </c>
      <c r="T10" s="4" t="s">
        <v>70</v>
      </c>
      <c r="U10" s="4" t="s">
        <v>77</v>
      </c>
      <c r="V10" s="4" t="s">
        <v>77</v>
      </c>
      <c r="W10" s="4" t="s">
        <v>77</v>
      </c>
    </row>
    <row r="11" spans="1:23" x14ac:dyDescent="0.25">
      <c r="A11" s="3" t="s">
        <v>7</v>
      </c>
      <c r="B11" s="4" t="s">
        <v>84</v>
      </c>
      <c r="C11" s="4" t="s">
        <v>87</v>
      </c>
      <c r="D11" s="4" t="s">
        <v>90</v>
      </c>
      <c r="E11" s="4" t="s">
        <v>73</v>
      </c>
      <c r="F11" s="4" t="s">
        <v>77</v>
      </c>
      <c r="G11" s="4" t="s">
        <v>79</v>
      </c>
      <c r="H11" s="4" t="s">
        <v>80</v>
      </c>
      <c r="I11" s="4" t="s">
        <v>5</v>
      </c>
      <c r="J11" s="4" t="s">
        <v>5</v>
      </c>
      <c r="K11" s="4" t="s">
        <v>74</v>
      </c>
      <c r="L11" s="4" t="s">
        <v>8</v>
      </c>
      <c r="M11" s="4" t="s">
        <v>74</v>
      </c>
      <c r="N11" s="4" t="s">
        <v>74</v>
      </c>
      <c r="O11" s="4" t="s">
        <v>31</v>
      </c>
      <c r="P11" s="4" t="s">
        <v>55</v>
      </c>
      <c r="Q11" s="4" t="s">
        <v>74</v>
      </c>
      <c r="R11" s="4" t="s">
        <v>31</v>
      </c>
      <c r="S11" s="4" t="s">
        <v>61</v>
      </c>
      <c r="T11" s="4" t="s">
        <v>70</v>
      </c>
      <c r="U11" s="4" t="s">
        <v>77</v>
      </c>
      <c r="V11" s="4" t="s">
        <v>77</v>
      </c>
      <c r="W11" s="4" t="s">
        <v>77</v>
      </c>
    </row>
    <row r="12" spans="1:23" x14ac:dyDescent="0.25">
      <c r="A12" s="3" t="s">
        <v>8</v>
      </c>
      <c r="B12" s="4" t="s">
        <v>8</v>
      </c>
      <c r="C12" s="4" t="s">
        <v>8</v>
      </c>
      <c r="D12" s="4" t="s">
        <v>8</v>
      </c>
      <c r="E12" s="4" t="s">
        <v>73</v>
      </c>
      <c r="F12" s="4" t="s">
        <v>8</v>
      </c>
      <c r="G12" s="4" t="s">
        <v>8</v>
      </c>
      <c r="H12" s="4" t="s">
        <v>8</v>
      </c>
      <c r="I12" s="4" t="s">
        <v>8</v>
      </c>
      <c r="J12" s="4" t="s">
        <v>8</v>
      </c>
      <c r="K12" s="4" t="s">
        <v>8</v>
      </c>
      <c r="L12" s="4" t="s">
        <v>8</v>
      </c>
      <c r="M12" s="4" t="s">
        <v>8</v>
      </c>
      <c r="N12" s="4" t="s">
        <v>8</v>
      </c>
      <c r="O12" s="4" t="s">
        <v>31</v>
      </c>
      <c r="P12" s="4" t="s">
        <v>8</v>
      </c>
      <c r="Q12" s="4" t="s">
        <v>8</v>
      </c>
      <c r="R12" s="4" t="s">
        <v>31</v>
      </c>
      <c r="S12" s="4" t="s">
        <v>8</v>
      </c>
      <c r="T12" s="4" t="s">
        <v>70</v>
      </c>
      <c r="U12" s="4" t="s">
        <v>8</v>
      </c>
      <c r="V12" s="4" t="s">
        <v>8</v>
      </c>
      <c r="W12" s="4" t="s">
        <v>8</v>
      </c>
    </row>
    <row r="13" spans="1:23" x14ac:dyDescent="0.25">
      <c r="A13" s="3" t="s">
        <v>9</v>
      </c>
      <c r="B13" s="4" t="s">
        <v>84</v>
      </c>
      <c r="C13" s="4" t="s">
        <v>87</v>
      </c>
      <c r="D13" s="4" t="s">
        <v>90</v>
      </c>
      <c r="E13" s="4" t="s">
        <v>73</v>
      </c>
      <c r="F13" s="4" t="s">
        <v>77</v>
      </c>
      <c r="G13" s="4" t="s">
        <v>79</v>
      </c>
      <c r="H13" s="4" t="s">
        <v>80</v>
      </c>
      <c r="I13" s="4" t="s">
        <v>5</v>
      </c>
      <c r="J13" s="4" t="s">
        <v>5</v>
      </c>
      <c r="K13" s="4" t="s">
        <v>74</v>
      </c>
      <c r="L13" s="4" t="s">
        <v>8</v>
      </c>
      <c r="M13" s="4" t="s">
        <v>74</v>
      </c>
      <c r="N13" s="4" t="s">
        <v>74</v>
      </c>
      <c r="O13" s="4" t="s">
        <v>31</v>
      </c>
      <c r="P13" s="4" t="s">
        <v>55</v>
      </c>
      <c r="Q13" s="4" t="s">
        <v>74</v>
      </c>
      <c r="R13" s="4" t="s">
        <v>31</v>
      </c>
      <c r="S13" s="4" t="s">
        <v>61</v>
      </c>
      <c r="T13" s="4" t="s">
        <v>70</v>
      </c>
      <c r="U13" s="4" t="s">
        <v>77</v>
      </c>
      <c r="V13" s="4" t="s">
        <v>77</v>
      </c>
      <c r="W13" s="4" t="s">
        <v>77</v>
      </c>
    </row>
    <row r="14" spans="1:23" x14ac:dyDescent="0.25">
      <c r="A14" s="3" t="s">
        <v>10</v>
      </c>
      <c r="B14" s="4" t="s">
        <v>84</v>
      </c>
      <c r="C14" s="4" t="s">
        <v>87</v>
      </c>
      <c r="D14" s="4" t="s">
        <v>90</v>
      </c>
      <c r="E14" s="4" t="s">
        <v>73</v>
      </c>
      <c r="F14" s="4" t="s">
        <v>77</v>
      </c>
      <c r="G14" s="4" t="s">
        <v>79</v>
      </c>
      <c r="H14" s="4" t="s">
        <v>80</v>
      </c>
      <c r="I14" s="4" t="s">
        <v>5</v>
      </c>
      <c r="J14" s="4" t="s">
        <v>5</v>
      </c>
      <c r="K14" s="4" t="s">
        <v>74</v>
      </c>
      <c r="L14" s="4" t="s">
        <v>8</v>
      </c>
      <c r="M14" s="4" t="s">
        <v>74</v>
      </c>
      <c r="N14" s="4" t="s">
        <v>74</v>
      </c>
      <c r="O14" s="4" t="s">
        <v>31</v>
      </c>
      <c r="P14" s="4" t="s">
        <v>55</v>
      </c>
      <c r="Q14" s="4" t="s">
        <v>74</v>
      </c>
      <c r="R14" s="4" t="s">
        <v>31</v>
      </c>
      <c r="S14" s="4" t="s">
        <v>61</v>
      </c>
      <c r="T14" s="4" t="s">
        <v>70</v>
      </c>
      <c r="U14" s="4" t="s">
        <v>77</v>
      </c>
      <c r="V14" s="4" t="s">
        <v>77</v>
      </c>
      <c r="W14" s="4" t="s">
        <v>77</v>
      </c>
    </row>
    <row r="15" spans="1:23" x14ac:dyDescent="0.25">
      <c r="A15" s="3" t="s">
        <v>11</v>
      </c>
      <c r="B15" s="4" t="s">
        <v>84</v>
      </c>
      <c r="C15" s="4" t="s">
        <v>87</v>
      </c>
      <c r="D15" s="4" t="s">
        <v>90</v>
      </c>
      <c r="E15" s="4" t="s">
        <v>73</v>
      </c>
      <c r="F15" s="4" t="s">
        <v>31</v>
      </c>
      <c r="G15" s="4" t="s">
        <v>31</v>
      </c>
      <c r="H15" s="4" t="s">
        <v>31</v>
      </c>
      <c r="I15" s="4" t="s">
        <v>31</v>
      </c>
      <c r="J15" s="4" t="s">
        <v>31</v>
      </c>
      <c r="K15" s="4" t="s">
        <v>31</v>
      </c>
      <c r="L15" s="4" t="s">
        <v>31</v>
      </c>
      <c r="M15" s="4" t="s">
        <v>31</v>
      </c>
      <c r="N15" s="4" t="s">
        <v>31</v>
      </c>
      <c r="O15" s="4" t="s">
        <v>31</v>
      </c>
      <c r="P15" s="4" t="s">
        <v>55</v>
      </c>
      <c r="Q15" s="4" t="s">
        <v>31</v>
      </c>
      <c r="R15" s="4" t="s">
        <v>31</v>
      </c>
      <c r="S15" s="4" t="s">
        <v>31</v>
      </c>
      <c r="T15" s="4" t="s">
        <v>70</v>
      </c>
      <c r="U15" s="4" t="s">
        <v>77</v>
      </c>
      <c r="V15" s="4" t="s">
        <v>77</v>
      </c>
      <c r="W15" s="4" t="s">
        <v>77</v>
      </c>
    </row>
    <row r="16" spans="1:23" x14ac:dyDescent="0.25">
      <c r="A16" s="3" t="s">
        <v>12</v>
      </c>
      <c r="B16" s="4" t="s">
        <v>55</v>
      </c>
      <c r="C16" s="4" t="s">
        <v>55</v>
      </c>
      <c r="D16" s="4" t="s">
        <v>55</v>
      </c>
      <c r="E16" s="4" t="s">
        <v>73</v>
      </c>
      <c r="F16" s="4" t="s">
        <v>55</v>
      </c>
      <c r="G16" s="4" t="s">
        <v>55</v>
      </c>
      <c r="H16" s="4" t="s">
        <v>55</v>
      </c>
      <c r="I16" s="4" t="s">
        <v>55</v>
      </c>
      <c r="J16" s="4" t="s">
        <v>55</v>
      </c>
      <c r="K16" s="4" t="s">
        <v>55</v>
      </c>
      <c r="L16" s="4" t="s">
        <v>8</v>
      </c>
      <c r="M16" s="4" t="s">
        <v>55</v>
      </c>
      <c r="N16" s="4" t="s">
        <v>55</v>
      </c>
      <c r="O16" s="4" t="s">
        <v>55</v>
      </c>
      <c r="P16" s="4" t="s">
        <v>55</v>
      </c>
      <c r="Q16" s="4" t="s">
        <v>55</v>
      </c>
      <c r="R16" s="4" t="s">
        <v>31</v>
      </c>
      <c r="S16" s="4" t="s">
        <v>61</v>
      </c>
      <c r="T16" s="4" t="s">
        <v>70</v>
      </c>
      <c r="U16" s="4" t="s">
        <v>77</v>
      </c>
      <c r="V16" s="4" t="s">
        <v>77</v>
      </c>
      <c r="W16" s="4" t="s">
        <v>77</v>
      </c>
    </row>
    <row r="17" spans="1:23" x14ac:dyDescent="0.25">
      <c r="A17" s="3" t="s">
        <v>13</v>
      </c>
      <c r="B17" s="4" t="s">
        <v>84</v>
      </c>
      <c r="C17" s="4" t="s">
        <v>87</v>
      </c>
      <c r="D17" s="4" t="s">
        <v>90</v>
      </c>
      <c r="E17" s="4" t="s">
        <v>73</v>
      </c>
      <c r="F17" s="4" t="s">
        <v>77</v>
      </c>
      <c r="G17" s="4" t="s">
        <v>79</v>
      </c>
      <c r="H17" s="4" t="s">
        <v>80</v>
      </c>
      <c r="I17" s="4" t="s">
        <v>5</v>
      </c>
      <c r="J17" s="4" t="s">
        <v>5</v>
      </c>
      <c r="K17" s="4" t="s">
        <v>74</v>
      </c>
      <c r="L17" s="4" t="s">
        <v>8</v>
      </c>
      <c r="M17" s="4" t="s">
        <v>74</v>
      </c>
      <c r="N17" s="4" t="s">
        <v>74</v>
      </c>
      <c r="O17" s="4" t="s">
        <v>31</v>
      </c>
      <c r="P17" s="4" t="s">
        <v>55</v>
      </c>
      <c r="Q17" s="4" t="s">
        <v>74</v>
      </c>
      <c r="R17" s="4" t="s">
        <v>31</v>
      </c>
      <c r="S17" s="4" t="s">
        <v>61</v>
      </c>
      <c r="T17" s="4" t="s">
        <v>70</v>
      </c>
      <c r="U17" s="4" t="s">
        <v>77</v>
      </c>
      <c r="V17" s="4" t="s">
        <v>77</v>
      </c>
      <c r="W17" s="4" t="s">
        <v>77</v>
      </c>
    </row>
    <row r="18" spans="1:23" x14ac:dyDescent="0.25">
      <c r="A18" s="3" t="s">
        <v>31</v>
      </c>
      <c r="B18" s="4" t="s">
        <v>31</v>
      </c>
      <c r="C18" s="4" t="s">
        <v>31</v>
      </c>
      <c r="D18" s="4" t="s">
        <v>31</v>
      </c>
      <c r="E18" s="4" t="s">
        <v>31</v>
      </c>
      <c r="F18" s="4" t="s">
        <v>31</v>
      </c>
      <c r="G18" s="4" t="s">
        <v>31</v>
      </c>
      <c r="H18" s="4" t="s">
        <v>31</v>
      </c>
      <c r="I18" s="4" t="s">
        <v>31</v>
      </c>
      <c r="J18" s="4" t="s">
        <v>31</v>
      </c>
      <c r="K18" s="4" t="s">
        <v>31</v>
      </c>
      <c r="L18" s="4" t="s">
        <v>31</v>
      </c>
      <c r="M18" s="4" t="s">
        <v>31</v>
      </c>
      <c r="N18" s="4" t="s">
        <v>31</v>
      </c>
      <c r="O18" s="4" t="s">
        <v>31</v>
      </c>
      <c r="P18" s="4" t="s">
        <v>31</v>
      </c>
      <c r="Q18" s="4" t="s">
        <v>31</v>
      </c>
      <c r="R18" s="4" t="s">
        <v>31</v>
      </c>
      <c r="S18" s="4" t="s">
        <v>31</v>
      </c>
      <c r="T18" s="4" t="s">
        <v>31</v>
      </c>
      <c r="U18" s="4" t="s">
        <v>31</v>
      </c>
      <c r="V18" s="4" t="s">
        <v>31</v>
      </c>
      <c r="W18" s="4" t="s">
        <v>31</v>
      </c>
    </row>
    <row r="19" spans="1:23" x14ac:dyDescent="0.25">
      <c r="A19" s="3" t="s">
        <v>34</v>
      </c>
      <c r="B19" s="4" t="s">
        <v>61</v>
      </c>
      <c r="C19" s="4" t="s">
        <v>61</v>
      </c>
      <c r="D19" s="4" t="s">
        <v>61</v>
      </c>
      <c r="E19" s="4" t="s">
        <v>73</v>
      </c>
      <c r="F19" s="4" t="s">
        <v>61</v>
      </c>
      <c r="G19" s="4" t="s">
        <v>61</v>
      </c>
      <c r="H19" s="4" t="s">
        <v>61</v>
      </c>
      <c r="I19" s="4" t="s">
        <v>61</v>
      </c>
      <c r="J19" s="4" t="s">
        <v>61</v>
      </c>
      <c r="K19" s="4" t="s">
        <v>61</v>
      </c>
      <c r="L19" s="4" t="s">
        <v>8</v>
      </c>
      <c r="M19" s="4" t="s">
        <v>61</v>
      </c>
      <c r="N19" s="4" t="s">
        <v>61</v>
      </c>
      <c r="O19" s="4" t="s">
        <v>31</v>
      </c>
      <c r="P19" s="4" t="s">
        <v>61</v>
      </c>
      <c r="Q19" s="4" t="s">
        <v>61</v>
      </c>
      <c r="R19" s="4" t="s">
        <v>31</v>
      </c>
      <c r="S19" s="4" t="s">
        <v>61</v>
      </c>
      <c r="T19" s="4" t="s">
        <v>70</v>
      </c>
      <c r="U19" s="4" t="s">
        <v>61</v>
      </c>
      <c r="V19" s="4" t="s">
        <v>61</v>
      </c>
      <c r="W19" s="4" t="s">
        <v>61</v>
      </c>
    </row>
    <row r="20" spans="1:23" x14ac:dyDescent="0.25">
      <c r="A20" s="3" t="s">
        <v>36</v>
      </c>
      <c r="B20" s="4" t="s">
        <v>70</v>
      </c>
      <c r="C20" s="4" t="s">
        <v>70</v>
      </c>
      <c r="D20" s="4" t="s">
        <v>70</v>
      </c>
      <c r="E20" s="4" t="s">
        <v>73</v>
      </c>
      <c r="F20" s="4" t="s">
        <v>70</v>
      </c>
      <c r="G20" s="4" t="s">
        <v>70</v>
      </c>
      <c r="H20" s="4" t="s">
        <v>70</v>
      </c>
      <c r="I20" s="4" t="s">
        <v>70</v>
      </c>
      <c r="J20" s="4" t="s">
        <v>70</v>
      </c>
      <c r="K20" s="4" t="s">
        <v>70</v>
      </c>
      <c r="L20" s="4" t="s">
        <v>70</v>
      </c>
      <c r="M20" s="4" t="s">
        <v>70</v>
      </c>
      <c r="N20" s="4" t="s">
        <v>70</v>
      </c>
      <c r="O20" s="4" t="s">
        <v>70</v>
      </c>
      <c r="P20" s="4" t="s">
        <v>70</v>
      </c>
      <c r="Q20" s="4" t="s">
        <v>70</v>
      </c>
      <c r="R20" s="4" t="s">
        <v>31</v>
      </c>
      <c r="S20" s="4" t="s">
        <v>70</v>
      </c>
      <c r="T20" s="4" t="s">
        <v>70</v>
      </c>
      <c r="U20" s="4" t="s">
        <v>70</v>
      </c>
      <c r="V20" s="4" t="s">
        <v>70</v>
      </c>
      <c r="W20" s="4" t="s">
        <v>70</v>
      </c>
    </row>
    <row r="21" spans="1:23" x14ac:dyDescent="0.25">
      <c r="A21" s="3" t="s">
        <v>40</v>
      </c>
      <c r="B21" s="4" t="s">
        <v>77</v>
      </c>
      <c r="C21" s="4" t="s">
        <v>77</v>
      </c>
      <c r="D21" s="4" t="s">
        <v>77</v>
      </c>
      <c r="E21" s="4" t="s">
        <v>73</v>
      </c>
      <c r="F21" s="4" t="s">
        <v>77</v>
      </c>
      <c r="G21" s="4" t="s">
        <v>77</v>
      </c>
      <c r="H21" s="4" t="s">
        <v>77</v>
      </c>
      <c r="I21" s="4" t="s">
        <v>77</v>
      </c>
      <c r="J21" s="4" t="s">
        <v>77</v>
      </c>
      <c r="K21" s="4" t="s">
        <v>77</v>
      </c>
      <c r="L21" s="4" t="s">
        <v>8</v>
      </c>
      <c r="M21" s="4" t="s">
        <v>77</v>
      </c>
      <c r="N21" s="4" t="s">
        <v>77</v>
      </c>
      <c r="O21" s="4" t="s">
        <v>77</v>
      </c>
      <c r="P21" s="4" t="s">
        <v>77</v>
      </c>
      <c r="Q21" s="4" t="s">
        <v>77</v>
      </c>
      <c r="R21" s="4" t="s">
        <v>31</v>
      </c>
      <c r="S21" s="4" t="s">
        <v>61</v>
      </c>
      <c r="T21" s="4" t="s">
        <v>70</v>
      </c>
      <c r="U21" s="4" t="s">
        <v>77</v>
      </c>
      <c r="V21" s="4" t="s">
        <v>77</v>
      </c>
      <c r="W21" s="4" t="s">
        <v>77</v>
      </c>
    </row>
    <row r="22" spans="1:23" x14ac:dyDescent="0.25">
      <c r="A22" s="3" t="s">
        <v>41</v>
      </c>
      <c r="B22" s="4" t="s">
        <v>77</v>
      </c>
      <c r="C22" s="4" t="s">
        <v>77</v>
      </c>
      <c r="D22" s="4" t="s">
        <v>77</v>
      </c>
      <c r="E22" s="4" t="s">
        <v>73</v>
      </c>
      <c r="F22" s="4" t="s">
        <v>77</v>
      </c>
      <c r="G22" s="4" t="s">
        <v>77</v>
      </c>
      <c r="H22" s="4" t="s">
        <v>77</v>
      </c>
      <c r="I22" s="4" t="s">
        <v>77</v>
      </c>
      <c r="J22" s="4" t="s">
        <v>77</v>
      </c>
      <c r="K22" s="4" t="s">
        <v>77</v>
      </c>
      <c r="L22" s="4" t="s">
        <v>8</v>
      </c>
      <c r="M22" s="4" t="s">
        <v>77</v>
      </c>
      <c r="N22" s="4" t="s">
        <v>77</v>
      </c>
      <c r="O22" s="4" t="s">
        <v>77</v>
      </c>
      <c r="P22" s="4" t="s">
        <v>77</v>
      </c>
      <c r="Q22" s="4" t="s">
        <v>77</v>
      </c>
      <c r="R22" s="4" t="s">
        <v>31</v>
      </c>
      <c r="S22" s="4" t="s">
        <v>61</v>
      </c>
      <c r="T22" s="4" t="s">
        <v>70</v>
      </c>
      <c r="U22" s="4" t="s">
        <v>77</v>
      </c>
      <c r="V22" s="4" t="s">
        <v>77</v>
      </c>
      <c r="W22" s="4" t="s">
        <v>77</v>
      </c>
    </row>
    <row r="23" spans="1:23" x14ac:dyDescent="0.25">
      <c r="A23" s="3" t="s">
        <v>39</v>
      </c>
      <c r="B23" s="4" t="s">
        <v>77</v>
      </c>
      <c r="C23" s="4" t="s">
        <v>77</v>
      </c>
      <c r="D23" s="4" t="s">
        <v>77</v>
      </c>
      <c r="E23" s="4" t="s">
        <v>73</v>
      </c>
      <c r="F23" s="4" t="s">
        <v>77</v>
      </c>
      <c r="G23" s="4" t="s">
        <v>77</v>
      </c>
      <c r="H23" s="4" t="s">
        <v>77</v>
      </c>
      <c r="I23" s="4" t="s">
        <v>77</v>
      </c>
      <c r="J23" s="4" t="s">
        <v>77</v>
      </c>
      <c r="K23" s="4" t="s">
        <v>77</v>
      </c>
      <c r="L23" s="4" t="s">
        <v>8</v>
      </c>
      <c r="M23" s="4" t="s">
        <v>77</v>
      </c>
      <c r="N23" s="4" t="s">
        <v>77</v>
      </c>
      <c r="O23" s="4" t="s">
        <v>77</v>
      </c>
      <c r="P23" s="4" t="s">
        <v>77</v>
      </c>
      <c r="Q23" s="4" t="s">
        <v>77</v>
      </c>
      <c r="R23" s="4" t="s">
        <v>31</v>
      </c>
      <c r="S23" s="4" t="s">
        <v>61</v>
      </c>
      <c r="T23" s="4" t="s">
        <v>70</v>
      </c>
      <c r="U23" s="4" t="s">
        <v>77</v>
      </c>
      <c r="V23" s="4" t="s">
        <v>77</v>
      </c>
      <c r="W23" s="4" t="s">
        <v>77</v>
      </c>
    </row>
    <row r="25" spans="1:23" x14ac:dyDescent="0.25">
      <c r="U25" s="1"/>
      <c r="V25" s="1"/>
    </row>
  </sheetData>
  <conditionalFormatting sqref="B2:W23">
    <cfRule type="expression" dxfId="47" priority="1">
      <formula>B2&lt;&gt;INDEX($B$2:$W$23,            MATCH(B$1,$A$2:$A$23,0),            MATCH($A2,$B$1:$W$1,0))</formula>
    </cfRule>
    <cfRule type="cellIs" dxfId="46" priority="2" operator="equal">
      <formula>"Unsorted"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AD92ED6-D277-4AFF-9CB7-BEC3C7E60FCC}">
          <x14:formula1>
            <xm:f>'LYNN ids'!$A$1:$A$20</xm:f>
          </x14:formula1>
          <xm:sqref>B2:W23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AB885-9BD8-4097-A389-DE7B6233286E}">
  <dimension ref="A1:B29"/>
  <sheetViews>
    <sheetView workbookViewId="0">
      <selection activeCell="A4" sqref="A4"/>
    </sheetView>
  </sheetViews>
  <sheetFormatPr defaultRowHeight="15" x14ac:dyDescent="0.25"/>
  <cols>
    <col min="1" max="1" width="29.28515625" style="1" customWidth="1"/>
    <col min="2" max="2" width="45" style="1" bestFit="1" customWidth="1"/>
    <col min="3" max="16384" width="9.140625" style="1"/>
  </cols>
  <sheetData>
    <row r="1" spans="1:2" x14ac:dyDescent="0.25">
      <c r="A1" s="6" t="s">
        <v>31</v>
      </c>
      <c r="B1" s="6" t="s">
        <v>82</v>
      </c>
    </row>
    <row r="2" spans="1:2" x14ac:dyDescent="0.25">
      <c r="A2" s="6" t="s">
        <v>8</v>
      </c>
      <c r="B2" s="6" t="s">
        <v>83</v>
      </c>
    </row>
    <row r="3" spans="1:2" x14ac:dyDescent="0.25">
      <c r="A3" s="6" t="s">
        <v>84</v>
      </c>
      <c r="B3" s="6" t="s">
        <v>85</v>
      </c>
    </row>
    <row r="4" spans="1:2" s="11" customFormat="1" x14ac:dyDescent="0.2">
      <c r="A4" s="8" t="s">
        <v>109</v>
      </c>
      <c r="B4" s="8" t="s">
        <v>86</v>
      </c>
    </row>
    <row r="5" spans="1:2" x14ac:dyDescent="0.25">
      <c r="A5" s="6" t="s">
        <v>87</v>
      </c>
      <c r="B5" s="6" t="s">
        <v>88</v>
      </c>
    </row>
    <row r="6" spans="1:2" x14ac:dyDescent="0.25">
      <c r="A6" s="8" t="s">
        <v>110</v>
      </c>
      <c r="B6" s="8" t="s">
        <v>89</v>
      </c>
    </row>
    <row r="7" spans="1:2" x14ac:dyDescent="0.25">
      <c r="A7" s="6" t="s">
        <v>90</v>
      </c>
      <c r="B7" s="6" t="s">
        <v>91</v>
      </c>
    </row>
    <row r="8" spans="1:2" x14ac:dyDescent="0.25">
      <c r="A8" s="8" t="s">
        <v>111</v>
      </c>
      <c r="B8" s="8" t="s">
        <v>92</v>
      </c>
    </row>
    <row r="9" spans="1:2" x14ac:dyDescent="0.25">
      <c r="A9" s="6" t="s">
        <v>5</v>
      </c>
      <c r="B9" s="6" t="s">
        <v>93</v>
      </c>
    </row>
    <row r="10" spans="1:2" x14ac:dyDescent="0.25">
      <c r="A10" s="8" t="s">
        <v>55</v>
      </c>
      <c r="B10" s="8" t="s">
        <v>94</v>
      </c>
    </row>
    <row r="11" spans="1:2" x14ac:dyDescent="0.25">
      <c r="A11" s="8" t="s">
        <v>61</v>
      </c>
      <c r="B11" s="8" t="s">
        <v>95</v>
      </c>
    </row>
    <row r="12" spans="1:2" x14ac:dyDescent="0.25">
      <c r="A12" s="6" t="s">
        <v>70</v>
      </c>
      <c r="B12" s="6" t="s">
        <v>96</v>
      </c>
    </row>
    <row r="13" spans="1:2" x14ac:dyDescent="0.25">
      <c r="A13" s="6" t="s">
        <v>71</v>
      </c>
      <c r="B13" s="6" t="s">
        <v>97</v>
      </c>
    </row>
    <row r="14" spans="1:2" x14ac:dyDescent="0.25">
      <c r="A14" s="6" t="s">
        <v>74</v>
      </c>
      <c r="B14" s="6" t="s">
        <v>98</v>
      </c>
    </row>
    <row r="15" spans="1:2" x14ac:dyDescent="0.25">
      <c r="A15" s="6" t="s">
        <v>73</v>
      </c>
      <c r="B15" s="6" t="s">
        <v>99</v>
      </c>
    </row>
    <row r="16" spans="1:2" x14ac:dyDescent="0.25">
      <c r="A16" s="8" t="s">
        <v>112</v>
      </c>
      <c r="B16" s="8" t="s">
        <v>100</v>
      </c>
    </row>
    <row r="17" spans="1:2" x14ac:dyDescent="0.25">
      <c r="A17" s="6" t="s">
        <v>75</v>
      </c>
      <c r="B17" s="6" t="s">
        <v>101</v>
      </c>
    </row>
    <row r="18" spans="1:2" x14ac:dyDescent="0.25">
      <c r="A18" s="8" t="s">
        <v>77</v>
      </c>
      <c r="B18" s="8" t="s">
        <v>102</v>
      </c>
    </row>
    <row r="19" spans="1:2" x14ac:dyDescent="0.25">
      <c r="A19" s="8" t="s">
        <v>79</v>
      </c>
      <c r="B19" s="8" t="s">
        <v>103</v>
      </c>
    </row>
    <row r="20" spans="1:2" x14ac:dyDescent="0.25">
      <c r="A20" s="8" t="s">
        <v>80</v>
      </c>
      <c r="B20" s="8" t="s">
        <v>104</v>
      </c>
    </row>
    <row r="22" spans="1:2" x14ac:dyDescent="0.25">
      <c r="A22"/>
    </row>
    <row r="24" spans="1:2" x14ac:dyDescent="0.25">
      <c r="A24"/>
    </row>
    <row r="26" spans="1:2" x14ac:dyDescent="0.25">
      <c r="A26"/>
    </row>
    <row r="29" spans="1:2" x14ac:dyDescent="0.25">
      <c r="A2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BB599-E1C7-4735-8723-1682C1194B68}">
  <dimension ref="A1:W25"/>
  <sheetViews>
    <sheetView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D2" sqref="D2"/>
    </sheetView>
  </sheetViews>
  <sheetFormatPr defaultColWidth="14.7109375" defaultRowHeight="15" x14ac:dyDescent="0.25"/>
  <cols>
    <col min="1" max="1" width="21.42578125" style="1" bestFit="1" customWidth="1"/>
    <col min="2" max="18" width="15.5703125" style="1" customWidth="1"/>
    <col min="19" max="20" width="14.7109375" style="1"/>
    <col min="21" max="22" width="14.7109375" style="5"/>
    <col min="23" max="16384" width="14.7109375" style="1"/>
  </cols>
  <sheetData>
    <row r="1" spans="1:23" x14ac:dyDescent="0.25">
      <c r="A1" s="2" t="s">
        <v>108</v>
      </c>
      <c r="B1" s="3" t="str">
        <f>A2</f>
        <v>Hallway-of-Doorknobs</v>
      </c>
      <c r="C1" s="3" t="str">
        <f>A3</f>
        <v>Untitled-Libby</v>
      </c>
      <c r="D1" s="3" t="str">
        <f>A4</f>
        <v>Workbook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31</v>
      </c>
      <c r="S1" s="3" t="s">
        <v>34</v>
      </c>
      <c r="T1" s="3" t="s">
        <v>36</v>
      </c>
      <c r="U1" s="3" t="s">
        <v>40</v>
      </c>
      <c r="V1" s="3" t="s">
        <v>41</v>
      </c>
      <c r="W1" s="3" t="s">
        <v>39</v>
      </c>
    </row>
    <row r="2" spans="1:23" x14ac:dyDescent="0.25">
      <c r="A2" s="3" t="s">
        <v>105</v>
      </c>
      <c r="B2" s="4" t="str">
        <f>IF(LYNN!B2="","",_xlfn.XLOOKUP(LYNN!B2,'LYNN ids'!$A$1:$A$20,'LYNN ids'!$B$1:$B$20,""))</f>
        <v>1pvum72Gav0Uo8l2Gv7XqWLHAcp7ebOav</v>
      </c>
      <c r="C2" s="4" t="str">
        <f>IF(LYNN!C2="","",_xlfn.XLOOKUP(LYNN!C2,'LYNN ids'!$A$1:$A$20,'LYNN ids'!$B$1:$B$20,""))</f>
        <v>1tp5aFpswfMYtgc_L4jUzXybzxgwJf2_t</v>
      </c>
      <c r="D2" s="4" t="str">
        <f>IF(LYNN!D2="","",_xlfn.XLOOKUP(LYNN!D2,'LYNN ids'!$A$1:$A$20,'LYNN ids'!$B$1:$B$20,""))</f>
        <v>1tp5aFpswfMYtgc_L4jUzXybzxgwJf2_t</v>
      </c>
      <c r="E2" s="4" t="str">
        <f>IF(LYNN!E2="","",_xlfn.XLOOKUP(LYNN!E2,'LYNN ids'!$A$1:$A$20,'LYNN ids'!$B$1:$B$20,""))</f>
        <v>1I_HVTZQRAf_MjuUMOLp5geQoy-HQGOs5</v>
      </c>
      <c r="F2" s="4" t="str">
        <f>IF(LYNN!F2="","",_xlfn.XLOOKUP(LYNN!F2,'LYNN ids'!$A$1:$A$20,'LYNN ids'!$B$1:$B$20,""))</f>
        <v>1pvum72Gav0Uo8l2Gv7XqWLHAcp7ebOav</v>
      </c>
      <c r="G2" s="4" t="str">
        <f>IF(LYNN!G2="","",_xlfn.XLOOKUP(LYNN!G2,'LYNN ids'!$A$1:$A$20,'LYNN ids'!$B$1:$B$20,""))</f>
        <v>1pvum72Gav0Uo8l2Gv7XqWLHAcp7ebOav</v>
      </c>
      <c r="H2" s="4" t="str">
        <f>IF(LYNN!H2="","",_xlfn.XLOOKUP(LYNN!H2,'LYNN ids'!$A$1:$A$20,'LYNN ids'!$B$1:$B$20,""))</f>
        <v>1pvum72Gav0Uo8l2Gv7XqWLHAcp7ebOav</v>
      </c>
      <c r="I2" s="4" t="str">
        <f>IF(LYNN!I2="","",_xlfn.XLOOKUP(LYNN!I2,'LYNN ids'!$A$1:$A$20,'LYNN ids'!$B$1:$B$20,""))</f>
        <v>1nuzqw-fwBX5MyYFA7SCpoxlQ8wv3TzCW</v>
      </c>
      <c r="J2" s="4" t="str">
        <f>IF(LYNN!J2="","",_xlfn.XLOOKUP(LYNN!J2,'LYNN ids'!$A$1:$A$20,'LYNN ids'!$B$1:$B$20,""))</f>
        <v>1nuzqw-fwBX5MyYFA7SCpoxlQ8wv3TzCW</v>
      </c>
      <c r="K2" s="4" t="str">
        <f>IF(LYNN!K2="","",_xlfn.XLOOKUP(LYNN!K2,'LYNN ids'!$A$1:$A$20,'LYNN ids'!$B$1:$B$20,""))</f>
        <v>1pvum72Gav0Uo8l2Gv7XqWLHAcp7ebOav</v>
      </c>
      <c r="L2" s="4" t="str">
        <f>IF(LYNN!L2="","",_xlfn.XLOOKUP(LYNN!L2,'LYNN ids'!$A$1:$A$20,'LYNN ids'!$B$1:$B$20,""))</f>
        <v>1h1RSiSTe8nrUgL9drpkfcOyaHLW0Vmr5</v>
      </c>
      <c r="M2" s="4" t="str">
        <f>IF(LYNN!M2="","",_xlfn.XLOOKUP(LYNN!M2,'LYNN ids'!$A$1:$A$20,'LYNN ids'!$B$1:$B$20,""))</f>
        <v>1pvum72Gav0Uo8l2Gv7XqWLHAcp7ebOav</v>
      </c>
      <c r="N2" s="4" t="str">
        <f>IF(LYNN!N2="","",_xlfn.XLOOKUP(LYNN!N2,'LYNN ids'!$A$1:$A$20,'LYNN ids'!$B$1:$B$20,""))</f>
        <v>1pvum72Gav0Uo8l2Gv7XqWLHAcp7ebOav</v>
      </c>
      <c r="O2" s="4" t="str">
        <f>IF(LYNN!O2="","",_xlfn.XLOOKUP(LYNN!O2,'LYNN ids'!$A$1:$A$20,'LYNN ids'!$B$1:$B$20,""))</f>
        <v>1pvum72Gav0Uo8l2Gv7XqWLHAcp7ebOav</v>
      </c>
      <c r="P2" s="4" t="str">
        <f>IF(LYNN!P2="","",_xlfn.XLOOKUP(LYNN!P2,'LYNN ids'!$A$1:$A$20,'LYNN ids'!$B$1:$B$20,""))</f>
        <v>1hy21y43nwHZaLegDb93aDROu37Vp1JTn</v>
      </c>
      <c r="Q2" s="4" t="str">
        <f>IF(LYNN!Q2="","",_xlfn.XLOOKUP(LYNN!Q2,'LYNN ids'!$A$1:$A$20,'LYNN ids'!$B$1:$B$20,""))</f>
        <v>1pvum72Gav0Uo8l2Gv7XqWLHAcp7ebOav</v>
      </c>
      <c r="R2" s="4" t="str">
        <f>IF(LYNN!R2="","",_xlfn.XLOOKUP(LYNN!R2,'LYNN ids'!$A$1:$A$20,'LYNN ids'!$B$1:$B$20,""))</f>
        <v>1WJLQaqCT-dbigvaPr0qwSqfWa2okmQuj</v>
      </c>
      <c r="S2" s="4" t="str">
        <f>IF(LYNN!S2="","",_xlfn.XLOOKUP(LYNN!S2,'LYNN ids'!$A$1:$A$20,'LYNN ids'!$B$1:$B$20,""))</f>
        <v>1eErACYiOk3jQ2x4SoXSaidAA-qkmTaCG</v>
      </c>
      <c r="T2" s="4" t="str">
        <f>IF(LYNN!T2="","",_xlfn.XLOOKUP(LYNN!T2,'LYNN ids'!$A$1:$A$20,'LYNN ids'!$B$1:$B$20,""))</f>
        <v>1fVOTDgQc_VukLst1Vj82KytYqi_ziha0</v>
      </c>
      <c r="U2" s="4" t="str">
        <f>IF(LYNN!U2="","",_xlfn.XLOOKUP(LYNN!U2,'LYNN ids'!$A$1:$A$20,'LYNN ids'!$B$1:$B$20,""))</f>
        <v>14uCOjuWxxahpyW0J5tCTsPM_LD3cvxyr</v>
      </c>
      <c r="V2" s="4" t="str">
        <f>IF(LYNN!V2="","",_xlfn.XLOOKUP(LYNN!V2,'LYNN ids'!$A$1:$A$20,'LYNN ids'!$B$1:$B$20,""))</f>
        <v>14uCOjuWxxahpyW0J5tCTsPM_LD3cvxyr</v>
      </c>
      <c r="W2" s="4" t="str">
        <f>IF(LYNN!W2="","",_xlfn.XLOOKUP(LYNN!W2,'LYNN ids'!$A$1:$A$20,'LYNN ids'!$B$1:$B$20,""))</f>
        <v>14uCOjuWxxahpyW0J5tCTsPM_LD3cvxyr</v>
      </c>
    </row>
    <row r="3" spans="1:23" x14ac:dyDescent="0.25">
      <c r="A3" s="3" t="s">
        <v>106</v>
      </c>
      <c r="B3" s="4" t="str">
        <f>IF(LYNN!B3="","",_xlfn.XLOOKUP(LYNN!B3,'LYNN ids'!$A$1:$A$20,'LYNN ids'!$B$1:$B$20,""))</f>
        <v>1tp5aFpswfMYtgc_L4jUzXybzxgwJf2_t</v>
      </c>
      <c r="C3" s="4" t="str">
        <f>IF(LYNN!C3="","",_xlfn.XLOOKUP(LYNN!C3,'LYNN ids'!$A$1:$A$20,'LYNN ids'!$B$1:$B$20,""))</f>
        <v>1i6YgttRUxsS8eDzNreRHS1kLyFjc8Vbm</v>
      </c>
      <c r="D3" s="4" t="str">
        <f>IF(LYNN!D3="","",_xlfn.XLOOKUP(LYNN!D3,'LYNN ids'!$A$1:$A$20,'LYNN ids'!$B$1:$B$20,""))</f>
        <v>1tp5aFpswfMYtgc_L4jUzXybzxgwJf2_t</v>
      </c>
      <c r="E3" s="4" t="str">
        <f>IF(LYNN!E3="","",_xlfn.XLOOKUP(LYNN!E3,'LYNN ids'!$A$1:$A$20,'LYNN ids'!$B$1:$B$20,""))</f>
        <v>1I_HVTZQRAf_MjuUMOLp5geQoy-HQGOs5</v>
      </c>
      <c r="F3" s="4" t="str">
        <f>IF(LYNN!F3="","",_xlfn.XLOOKUP(LYNN!F3,'LYNN ids'!$A$1:$A$20,'LYNN ids'!$B$1:$B$20,""))</f>
        <v>1i6YgttRUxsS8eDzNreRHS1kLyFjc8Vbm</v>
      </c>
      <c r="G3" s="4" t="str">
        <f>IF(LYNN!G3="","",_xlfn.XLOOKUP(LYNN!G3,'LYNN ids'!$A$1:$A$20,'LYNN ids'!$B$1:$B$20,""))</f>
        <v>1i6YgttRUxsS8eDzNreRHS1kLyFjc8Vbm</v>
      </c>
      <c r="H3" s="4" t="str">
        <f>IF(LYNN!H3="","",_xlfn.XLOOKUP(LYNN!H3,'LYNN ids'!$A$1:$A$20,'LYNN ids'!$B$1:$B$20,""))</f>
        <v>1i6YgttRUxsS8eDzNreRHS1kLyFjc8Vbm</v>
      </c>
      <c r="I3" s="4" t="str">
        <f>IF(LYNN!I3="","",_xlfn.XLOOKUP(LYNN!I3,'LYNN ids'!$A$1:$A$20,'LYNN ids'!$B$1:$B$20,""))</f>
        <v>1nuzqw-fwBX5MyYFA7SCpoxlQ8wv3TzCW</v>
      </c>
      <c r="J3" s="4" t="str">
        <f>IF(LYNN!J3="","",_xlfn.XLOOKUP(LYNN!J3,'LYNN ids'!$A$1:$A$20,'LYNN ids'!$B$1:$B$20,""))</f>
        <v>1nuzqw-fwBX5MyYFA7SCpoxlQ8wv3TzCW</v>
      </c>
      <c r="K3" s="4" t="str">
        <f>IF(LYNN!K3="","",_xlfn.XLOOKUP(LYNN!K3,'LYNN ids'!$A$1:$A$20,'LYNN ids'!$B$1:$B$20,""))</f>
        <v>1i6YgttRUxsS8eDzNreRHS1kLyFjc8Vbm</v>
      </c>
      <c r="L3" s="4" t="str">
        <f>IF(LYNN!L3="","",_xlfn.XLOOKUP(LYNN!L3,'LYNN ids'!$A$1:$A$20,'LYNN ids'!$B$1:$B$20,""))</f>
        <v>1h1RSiSTe8nrUgL9drpkfcOyaHLW0Vmr5</v>
      </c>
      <c r="M3" s="4" t="str">
        <f>IF(LYNN!M3="","",_xlfn.XLOOKUP(LYNN!M3,'LYNN ids'!$A$1:$A$20,'LYNN ids'!$B$1:$B$20,""))</f>
        <v>1i6YgttRUxsS8eDzNreRHS1kLyFjc8Vbm</v>
      </c>
      <c r="N3" s="4" t="str">
        <f>IF(LYNN!N3="","",_xlfn.XLOOKUP(LYNN!N3,'LYNN ids'!$A$1:$A$20,'LYNN ids'!$B$1:$B$20,""))</f>
        <v>1i6YgttRUxsS8eDzNreRHS1kLyFjc8Vbm</v>
      </c>
      <c r="O3" s="4" t="str">
        <f>IF(LYNN!O3="","",_xlfn.XLOOKUP(LYNN!O3,'LYNN ids'!$A$1:$A$20,'LYNN ids'!$B$1:$B$20,""))</f>
        <v>1i6YgttRUxsS8eDzNreRHS1kLyFjc8Vbm</v>
      </c>
      <c r="P3" s="4" t="str">
        <f>IF(LYNN!P3="","",_xlfn.XLOOKUP(LYNN!P3,'LYNN ids'!$A$1:$A$20,'LYNN ids'!$B$1:$B$20,""))</f>
        <v>1hy21y43nwHZaLegDb93aDROu37Vp1JTn</v>
      </c>
      <c r="Q3" s="4" t="str">
        <f>IF(LYNN!Q3="","",_xlfn.XLOOKUP(LYNN!Q3,'LYNN ids'!$A$1:$A$20,'LYNN ids'!$B$1:$B$20,""))</f>
        <v>1i6YgttRUxsS8eDzNreRHS1kLyFjc8Vbm</v>
      </c>
      <c r="R3" s="4" t="str">
        <f>IF(LYNN!R3="","",_xlfn.XLOOKUP(LYNN!R3,'LYNN ids'!$A$1:$A$20,'LYNN ids'!$B$1:$B$20,""))</f>
        <v>1WJLQaqCT-dbigvaPr0qwSqfWa2okmQuj</v>
      </c>
      <c r="S3" s="4" t="str">
        <f>IF(LYNN!S3="","",_xlfn.XLOOKUP(LYNN!S3,'LYNN ids'!$A$1:$A$20,'LYNN ids'!$B$1:$B$20,""))</f>
        <v>1eErACYiOk3jQ2x4SoXSaidAA-qkmTaCG</v>
      </c>
      <c r="T3" s="4" t="str">
        <f>IF(LYNN!T3="","",_xlfn.XLOOKUP(LYNN!T3,'LYNN ids'!$A$1:$A$20,'LYNN ids'!$B$1:$B$20,""))</f>
        <v>1fVOTDgQc_VukLst1Vj82KytYqi_ziha0</v>
      </c>
      <c r="U3" s="4" t="str">
        <f>IF(LYNN!U3="","",_xlfn.XLOOKUP(LYNN!U3,'LYNN ids'!$A$1:$A$20,'LYNN ids'!$B$1:$B$20,""))</f>
        <v>14uCOjuWxxahpyW0J5tCTsPM_LD3cvxyr</v>
      </c>
      <c r="V3" s="4" t="str">
        <f>IF(LYNN!V3="","",_xlfn.XLOOKUP(LYNN!V3,'LYNN ids'!$A$1:$A$20,'LYNN ids'!$B$1:$B$20,""))</f>
        <v>14uCOjuWxxahpyW0J5tCTsPM_LD3cvxyr</v>
      </c>
      <c r="W3" s="4" t="str">
        <f>IF(LYNN!W3="","",_xlfn.XLOOKUP(LYNN!W3,'LYNN ids'!$A$1:$A$20,'LYNN ids'!$B$1:$B$20,""))</f>
        <v>14uCOjuWxxahpyW0J5tCTsPM_LD3cvxyr</v>
      </c>
    </row>
    <row r="4" spans="1:23" x14ac:dyDescent="0.25">
      <c r="A4" s="3" t="s">
        <v>107</v>
      </c>
      <c r="B4" s="4" t="str">
        <f>IF(LYNN!B4="","",_xlfn.XLOOKUP(LYNN!B4,'LYNN ids'!$A$1:$A$20,'LYNN ids'!$B$1:$B$20,""))</f>
        <v>1tp5aFpswfMYtgc_L4jUzXybzxgwJf2_t</v>
      </c>
      <c r="C4" s="4" t="str">
        <f>IF(LYNN!C4="","",_xlfn.XLOOKUP(LYNN!C4,'LYNN ids'!$A$1:$A$20,'LYNN ids'!$B$1:$B$20,""))</f>
        <v>1tp5aFpswfMYtgc_L4jUzXybzxgwJf2_t</v>
      </c>
      <c r="D4" s="4" t="str">
        <f>IF(LYNN!D4="","",_xlfn.XLOOKUP(LYNN!D4,'LYNN ids'!$A$1:$A$20,'LYNN ids'!$B$1:$B$20,""))</f>
        <v>1_8XrgWpWpUec4gny3ZkWdj64jT2GJa9c</v>
      </c>
      <c r="E4" s="4" t="str">
        <f>IF(LYNN!E4="","",_xlfn.XLOOKUP(LYNN!E4,'LYNN ids'!$A$1:$A$20,'LYNN ids'!$B$1:$B$20,""))</f>
        <v>1I_HVTZQRAf_MjuUMOLp5geQoy-HQGOs5</v>
      </c>
      <c r="F4" s="4" t="str">
        <f>IF(LYNN!F4="","",_xlfn.XLOOKUP(LYNN!F4,'LYNN ids'!$A$1:$A$20,'LYNN ids'!$B$1:$B$20,""))</f>
        <v>1_8XrgWpWpUec4gny3ZkWdj64jT2GJa9c</v>
      </c>
      <c r="G4" s="4" t="str">
        <f>IF(LYNN!G4="","",_xlfn.XLOOKUP(LYNN!G4,'LYNN ids'!$A$1:$A$20,'LYNN ids'!$B$1:$B$20,""))</f>
        <v>1_8XrgWpWpUec4gny3ZkWdj64jT2GJa9c</v>
      </c>
      <c r="H4" s="4" t="str">
        <f>IF(LYNN!H4="","",_xlfn.XLOOKUP(LYNN!H4,'LYNN ids'!$A$1:$A$20,'LYNN ids'!$B$1:$B$20,""))</f>
        <v>1_8XrgWpWpUec4gny3ZkWdj64jT2GJa9c</v>
      </c>
      <c r="I4" s="4" t="str">
        <f>IF(LYNN!I4="","",_xlfn.XLOOKUP(LYNN!I4,'LYNN ids'!$A$1:$A$20,'LYNN ids'!$B$1:$B$20,""))</f>
        <v>1nuzqw-fwBX5MyYFA7SCpoxlQ8wv3TzCW</v>
      </c>
      <c r="J4" s="4" t="str">
        <f>IF(LYNN!J4="","",_xlfn.XLOOKUP(LYNN!J4,'LYNN ids'!$A$1:$A$20,'LYNN ids'!$B$1:$B$20,""))</f>
        <v>1nuzqw-fwBX5MyYFA7SCpoxlQ8wv3TzCW</v>
      </c>
      <c r="K4" s="4" t="str">
        <f>IF(LYNN!K4="","",_xlfn.XLOOKUP(LYNN!K4,'LYNN ids'!$A$1:$A$20,'LYNN ids'!$B$1:$B$20,""))</f>
        <v>1_8XrgWpWpUec4gny3ZkWdj64jT2GJa9c</v>
      </c>
      <c r="L4" s="4" t="str">
        <f>IF(LYNN!L4="","",_xlfn.XLOOKUP(LYNN!L4,'LYNN ids'!$A$1:$A$20,'LYNN ids'!$B$1:$B$20,""))</f>
        <v>1h1RSiSTe8nrUgL9drpkfcOyaHLW0Vmr5</v>
      </c>
      <c r="M4" s="4" t="str">
        <f>IF(LYNN!M4="","",_xlfn.XLOOKUP(LYNN!M4,'LYNN ids'!$A$1:$A$20,'LYNN ids'!$B$1:$B$20,""))</f>
        <v>1_8XrgWpWpUec4gny3ZkWdj64jT2GJa9c</v>
      </c>
      <c r="N4" s="4" t="str">
        <f>IF(LYNN!N4="","",_xlfn.XLOOKUP(LYNN!N4,'LYNN ids'!$A$1:$A$20,'LYNN ids'!$B$1:$B$20,""))</f>
        <v>1_8XrgWpWpUec4gny3ZkWdj64jT2GJa9c</v>
      </c>
      <c r="O4" s="4" t="str">
        <f>IF(LYNN!O4="","",_xlfn.XLOOKUP(LYNN!O4,'LYNN ids'!$A$1:$A$20,'LYNN ids'!$B$1:$B$20,""))</f>
        <v>1_8XrgWpWpUec4gny3ZkWdj64jT2GJa9c</v>
      </c>
      <c r="P4" s="4" t="str">
        <f>IF(LYNN!P4="","",_xlfn.XLOOKUP(LYNN!P4,'LYNN ids'!$A$1:$A$20,'LYNN ids'!$B$1:$B$20,""))</f>
        <v>1hy21y43nwHZaLegDb93aDROu37Vp1JTn</v>
      </c>
      <c r="Q4" s="4" t="str">
        <f>IF(LYNN!Q4="","",_xlfn.XLOOKUP(LYNN!Q4,'LYNN ids'!$A$1:$A$20,'LYNN ids'!$B$1:$B$20,""))</f>
        <v>1_8XrgWpWpUec4gny3ZkWdj64jT2GJa9c</v>
      </c>
      <c r="R4" s="4" t="str">
        <f>IF(LYNN!R4="","",_xlfn.XLOOKUP(LYNN!R4,'LYNN ids'!$A$1:$A$20,'LYNN ids'!$B$1:$B$20,""))</f>
        <v>1WJLQaqCT-dbigvaPr0qwSqfWa2okmQuj</v>
      </c>
      <c r="S4" s="4" t="str">
        <f>IF(LYNN!S4="","",_xlfn.XLOOKUP(LYNN!S4,'LYNN ids'!$A$1:$A$20,'LYNN ids'!$B$1:$B$20,""))</f>
        <v>1eErACYiOk3jQ2x4SoXSaidAA-qkmTaCG</v>
      </c>
      <c r="T4" s="4" t="str">
        <f>IF(LYNN!T4="","",_xlfn.XLOOKUP(LYNN!T4,'LYNN ids'!$A$1:$A$20,'LYNN ids'!$B$1:$B$20,""))</f>
        <v>1fVOTDgQc_VukLst1Vj82KytYqi_ziha0</v>
      </c>
      <c r="U4" s="4" t="str">
        <f>IF(LYNN!U4="","",_xlfn.XLOOKUP(LYNN!U4,'LYNN ids'!$A$1:$A$20,'LYNN ids'!$B$1:$B$20,""))</f>
        <v>14uCOjuWxxahpyW0J5tCTsPM_LD3cvxyr</v>
      </c>
      <c r="V4" s="4" t="str">
        <f>IF(LYNN!V4="","",_xlfn.XLOOKUP(LYNN!V4,'LYNN ids'!$A$1:$A$20,'LYNN ids'!$B$1:$B$20,""))</f>
        <v>14uCOjuWxxahpyW0J5tCTsPM_LD3cvxyr</v>
      </c>
      <c r="W4" s="4" t="str">
        <f>IF(LYNN!W4="","",_xlfn.XLOOKUP(LYNN!W4,'LYNN ids'!$A$1:$A$20,'LYNN ids'!$B$1:$B$20,""))</f>
        <v>14uCOjuWxxahpyW0J5tCTsPM_LD3cvxyr</v>
      </c>
    </row>
    <row r="5" spans="1:23" x14ac:dyDescent="0.25">
      <c r="A5" s="3" t="s">
        <v>1</v>
      </c>
      <c r="B5" s="4" t="str">
        <f>IF(LYNN!B5="","",_xlfn.XLOOKUP(LYNN!B5,'LYNN ids'!$A$1:$A$20,'LYNN ids'!$B$1:$B$20,""))</f>
        <v>1I_HVTZQRAf_MjuUMOLp5geQoy-HQGOs5</v>
      </c>
      <c r="C5" s="4" t="str">
        <f>IF(LYNN!C5="","",_xlfn.XLOOKUP(LYNN!C5,'LYNN ids'!$A$1:$A$20,'LYNN ids'!$B$1:$B$20,""))</f>
        <v>1I_HVTZQRAf_MjuUMOLp5geQoy-HQGOs5</v>
      </c>
      <c r="D5" s="4" t="str">
        <f>IF(LYNN!D5="","",_xlfn.XLOOKUP(LYNN!D5,'LYNN ids'!$A$1:$A$20,'LYNN ids'!$B$1:$B$20,""))</f>
        <v>1I_HVTZQRAf_MjuUMOLp5geQoy-HQGOs5</v>
      </c>
      <c r="E5" s="4" t="str">
        <f>IF(LYNN!E5="","",_xlfn.XLOOKUP(LYNN!E5,'LYNN ids'!$A$1:$A$20,'LYNN ids'!$B$1:$B$20,""))</f>
        <v>1I_HVTZQRAf_MjuUMOLp5geQoy-HQGOs5</v>
      </c>
      <c r="F5" s="4" t="str">
        <f>IF(LYNN!F5="","",_xlfn.XLOOKUP(LYNN!F5,'LYNN ids'!$A$1:$A$20,'LYNN ids'!$B$1:$B$20,""))</f>
        <v>1I_HVTZQRAf_MjuUMOLp5geQoy-HQGOs5</v>
      </c>
      <c r="G5" s="4" t="str">
        <f>IF(LYNN!G5="","",_xlfn.XLOOKUP(LYNN!G5,'LYNN ids'!$A$1:$A$20,'LYNN ids'!$B$1:$B$20,""))</f>
        <v>1I_HVTZQRAf_MjuUMOLp5geQoy-HQGOs5</v>
      </c>
      <c r="H5" s="4" t="str">
        <f>IF(LYNN!H5="","",_xlfn.XLOOKUP(LYNN!H5,'LYNN ids'!$A$1:$A$20,'LYNN ids'!$B$1:$B$20,""))</f>
        <v>1I_HVTZQRAf_MjuUMOLp5geQoy-HQGOs5</v>
      </c>
      <c r="I5" s="4" t="str">
        <f>IF(LYNN!I5="","",_xlfn.XLOOKUP(LYNN!I5,'LYNN ids'!$A$1:$A$20,'LYNN ids'!$B$1:$B$20,""))</f>
        <v>1I_HVTZQRAf_MjuUMOLp5geQoy-HQGOs5</v>
      </c>
      <c r="J5" s="4" t="str">
        <f>IF(LYNN!J5="","",_xlfn.XLOOKUP(LYNN!J5,'LYNN ids'!$A$1:$A$20,'LYNN ids'!$B$1:$B$20,""))</f>
        <v>1I_HVTZQRAf_MjuUMOLp5geQoy-HQGOs5</v>
      </c>
      <c r="K5" s="4" t="str">
        <f>IF(LYNN!K5="","",_xlfn.XLOOKUP(LYNN!K5,'LYNN ids'!$A$1:$A$20,'LYNN ids'!$B$1:$B$20,""))</f>
        <v>1I_HVTZQRAf_MjuUMOLp5geQoy-HQGOs5</v>
      </c>
      <c r="L5" s="4" t="str">
        <f>IF(LYNN!L5="","",_xlfn.XLOOKUP(LYNN!L5,'LYNN ids'!$A$1:$A$20,'LYNN ids'!$B$1:$B$20,""))</f>
        <v>1I_HVTZQRAf_MjuUMOLp5geQoy-HQGOs5</v>
      </c>
      <c r="M5" s="4" t="str">
        <f>IF(LYNN!M5="","",_xlfn.XLOOKUP(LYNN!M5,'LYNN ids'!$A$1:$A$20,'LYNN ids'!$B$1:$B$20,""))</f>
        <v>1I_HVTZQRAf_MjuUMOLp5geQoy-HQGOs5</v>
      </c>
      <c r="N5" s="4" t="str">
        <f>IF(LYNN!N5="","",_xlfn.XLOOKUP(LYNN!N5,'LYNN ids'!$A$1:$A$20,'LYNN ids'!$B$1:$B$20,""))</f>
        <v>1I_HVTZQRAf_MjuUMOLp5geQoy-HQGOs5</v>
      </c>
      <c r="O5" s="4" t="str">
        <f>IF(LYNN!O5="","",_xlfn.XLOOKUP(LYNN!O5,'LYNN ids'!$A$1:$A$20,'LYNN ids'!$B$1:$B$20,""))</f>
        <v>1I_HVTZQRAf_MjuUMOLp5geQoy-HQGOs5</v>
      </c>
      <c r="P5" s="4" t="str">
        <f>IF(LYNN!P5="","",_xlfn.XLOOKUP(LYNN!P5,'LYNN ids'!$A$1:$A$20,'LYNN ids'!$B$1:$B$20,""))</f>
        <v>1I_HVTZQRAf_MjuUMOLp5geQoy-HQGOs5</v>
      </c>
      <c r="Q5" s="4" t="str">
        <f>IF(LYNN!Q5="","",_xlfn.XLOOKUP(LYNN!Q5,'LYNN ids'!$A$1:$A$20,'LYNN ids'!$B$1:$B$20,""))</f>
        <v>1I_HVTZQRAf_MjuUMOLp5geQoy-HQGOs5</v>
      </c>
      <c r="R5" s="4" t="str">
        <f>IF(LYNN!R5="","",_xlfn.XLOOKUP(LYNN!R5,'LYNN ids'!$A$1:$A$20,'LYNN ids'!$B$1:$B$20,""))</f>
        <v>1WJLQaqCT-dbigvaPr0qwSqfWa2okmQuj</v>
      </c>
      <c r="S5" s="4" t="str">
        <f>IF(LYNN!S5="","",_xlfn.XLOOKUP(LYNN!S5,'LYNN ids'!$A$1:$A$20,'LYNN ids'!$B$1:$B$20,""))</f>
        <v>1I_HVTZQRAf_MjuUMOLp5geQoy-HQGOs5</v>
      </c>
      <c r="T5" s="4" t="str">
        <f>IF(LYNN!T5="","",_xlfn.XLOOKUP(LYNN!T5,'LYNN ids'!$A$1:$A$20,'LYNN ids'!$B$1:$B$20,""))</f>
        <v>1I_HVTZQRAf_MjuUMOLp5geQoy-HQGOs5</v>
      </c>
      <c r="U5" s="4" t="str">
        <f>IF(LYNN!U5="","",_xlfn.XLOOKUP(LYNN!U5,'LYNN ids'!$A$1:$A$20,'LYNN ids'!$B$1:$B$20,""))</f>
        <v>1I_HVTZQRAf_MjuUMOLp5geQoy-HQGOs5</v>
      </c>
      <c r="V5" s="4" t="str">
        <f>IF(LYNN!V5="","",_xlfn.XLOOKUP(LYNN!V5,'LYNN ids'!$A$1:$A$20,'LYNN ids'!$B$1:$B$20,""))</f>
        <v>1I_HVTZQRAf_MjuUMOLp5geQoy-HQGOs5</v>
      </c>
      <c r="W5" s="4" t="str">
        <f>IF(LYNN!W5="","",_xlfn.XLOOKUP(LYNN!W5,'LYNN ids'!$A$1:$A$20,'LYNN ids'!$B$1:$B$20,""))</f>
        <v>1I_HVTZQRAf_MjuUMOLp5geQoy-HQGOs5</v>
      </c>
    </row>
    <row r="6" spans="1:23" x14ac:dyDescent="0.25">
      <c r="A6" s="3" t="s">
        <v>2</v>
      </c>
      <c r="B6" s="4" t="str">
        <f>IF(LYNN!B6="","",_xlfn.XLOOKUP(LYNN!B6,'LYNN ids'!$A$1:$A$20,'LYNN ids'!$B$1:$B$20,""))</f>
        <v>1pvum72Gav0Uo8l2Gv7XqWLHAcp7ebOav</v>
      </c>
      <c r="C6" s="4" t="str">
        <f>IF(LYNN!C6="","",_xlfn.XLOOKUP(LYNN!C6,'LYNN ids'!$A$1:$A$20,'LYNN ids'!$B$1:$B$20,""))</f>
        <v>1i6YgttRUxsS8eDzNreRHS1kLyFjc8Vbm</v>
      </c>
      <c r="D6" s="4" t="str">
        <f>IF(LYNN!D6="","",_xlfn.XLOOKUP(LYNN!D6,'LYNN ids'!$A$1:$A$20,'LYNN ids'!$B$1:$B$20,""))</f>
        <v>1_8XrgWpWpUec4gny3ZkWdj64jT2GJa9c</v>
      </c>
      <c r="E6" s="4" t="str">
        <f>IF(LYNN!E6="","",_xlfn.XLOOKUP(LYNN!E6,'LYNN ids'!$A$1:$A$20,'LYNN ids'!$B$1:$B$20,""))</f>
        <v>1I_HVTZQRAf_MjuUMOLp5geQoy-HQGOs5</v>
      </c>
      <c r="F6" s="4" t="str">
        <f>IF(LYNN!F6="","",_xlfn.XLOOKUP(LYNN!F6,'LYNN ids'!$A$1:$A$20,'LYNN ids'!$B$1:$B$20,""))</f>
        <v>14uCOjuWxxahpyW0J5tCTsPM_LD3cvxyr</v>
      </c>
      <c r="G6" s="4" t="str">
        <f>IF(LYNN!G6="","",_xlfn.XLOOKUP(LYNN!G6,'LYNN ids'!$A$1:$A$20,'LYNN ids'!$B$1:$B$20,""))</f>
        <v>14uCOjuWxxahpyW0J5tCTsPM_LD3cvxyr</v>
      </c>
      <c r="H6" s="4" t="str">
        <f>IF(LYNN!H6="","",_xlfn.XLOOKUP(LYNN!H6,'LYNN ids'!$A$1:$A$20,'LYNN ids'!$B$1:$B$20,""))</f>
        <v>14uCOjuWxxahpyW0J5tCTsPM_LD3cvxyr</v>
      </c>
      <c r="I6" s="4" t="str">
        <f>IF(LYNN!I6="","",_xlfn.XLOOKUP(LYNN!I6,'LYNN ids'!$A$1:$A$20,'LYNN ids'!$B$1:$B$20,""))</f>
        <v>14uCOjuWxxahpyW0J5tCTsPM_LD3cvxyr</v>
      </c>
      <c r="J6" s="4" t="str">
        <f>IF(LYNN!J6="","",_xlfn.XLOOKUP(LYNN!J6,'LYNN ids'!$A$1:$A$20,'LYNN ids'!$B$1:$B$20,""))</f>
        <v>14uCOjuWxxahpyW0J5tCTsPM_LD3cvxyr</v>
      </c>
      <c r="K6" s="4" t="str">
        <f>IF(LYNN!K6="","",_xlfn.XLOOKUP(LYNN!K6,'LYNN ids'!$A$1:$A$20,'LYNN ids'!$B$1:$B$20,""))</f>
        <v>14uCOjuWxxahpyW0J5tCTsPM_LD3cvxyr</v>
      </c>
      <c r="L6" s="4" t="str">
        <f>IF(LYNN!L6="","",_xlfn.XLOOKUP(LYNN!L6,'LYNN ids'!$A$1:$A$20,'LYNN ids'!$B$1:$B$20,""))</f>
        <v>1h1RSiSTe8nrUgL9drpkfcOyaHLW0Vmr5</v>
      </c>
      <c r="M6" s="4" t="str">
        <f>IF(LYNN!M6="","",_xlfn.XLOOKUP(LYNN!M6,'LYNN ids'!$A$1:$A$20,'LYNN ids'!$B$1:$B$20,""))</f>
        <v>14uCOjuWxxahpyW0J5tCTsPM_LD3cvxyr</v>
      </c>
      <c r="N6" s="4" t="str">
        <f>IF(LYNN!N6="","",_xlfn.XLOOKUP(LYNN!N6,'LYNN ids'!$A$1:$A$20,'LYNN ids'!$B$1:$B$20,""))</f>
        <v>14uCOjuWxxahpyW0J5tCTsPM_LD3cvxyr</v>
      </c>
      <c r="O6" s="4" t="str">
        <f>IF(LYNN!O6="","",_xlfn.XLOOKUP(LYNN!O6,'LYNN ids'!$A$1:$A$20,'LYNN ids'!$B$1:$B$20,""))</f>
        <v>1WJLQaqCT-dbigvaPr0qwSqfWa2okmQuj</v>
      </c>
      <c r="P6" s="4" t="str">
        <f>IF(LYNN!P6="","",_xlfn.XLOOKUP(LYNN!P6,'LYNN ids'!$A$1:$A$20,'LYNN ids'!$B$1:$B$20,""))</f>
        <v>1hy21y43nwHZaLegDb93aDROu37Vp1JTn</v>
      </c>
      <c r="Q6" s="4" t="str">
        <f>IF(LYNN!Q6="","",_xlfn.XLOOKUP(LYNN!Q6,'LYNN ids'!$A$1:$A$20,'LYNN ids'!$B$1:$B$20,""))</f>
        <v>14uCOjuWxxahpyW0J5tCTsPM_LD3cvxyr</v>
      </c>
      <c r="R6" s="4" t="str">
        <f>IF(LYNN!R6="","",_xlfn.XLOOKUP(LYNN!R6,'LYNN ids'!$A$1:$A$20,'LYNN ids'!$B$1:$B$20,""))</f>
        <v>1WJLQaqCT-dbigvaPr0qwSqfWa2okmQuj</v>
      </c>
      <c r="S6" s="4" t="str">
        <f>IF(LYNN!S6="","",_xlfn.XLOOKUP(LYNN!S6,'LYNN ids'!$A$1:$A$20,'LYNN ids'!$B$1:$B$20,""))</f>
        <v>1eErACYiOk3jQ2x4SoXSaidAA-qkmTaCG</v>
      </c>
      <c r="T6" s="4" t="str">
        <f>IF(LYNN!T6="","",_xlfn.XLOOKUP(LYNN!T6,'LYNN ids'!$A$1:$A$20,'LYNN ids'!$B$1:$B$20,""))</f>
        <v>1fVOTDgQc_VukLst1Vj82KytYqi_ziha0</v>
      </c>
      <c r="U6" s="4" t="str">
        <f>IF(LYNN!U6="","",_xlfn.XLOOKUP(LYNN!U6,'LYNN ids'!$A$1:$A$20,'LYNN ids'!$B$1:$B$20,""))</f>
        <v>14uCOjuWxxahpyW0J5tCTsPM_LD3cvxyr</v>
      </c>
      <c r="V6" s="4" t="str">
        <f>IF(LYNN!V6="","",_xlfn.XLOOKUP(LYNN!V6,'LYNN ids'!$A$1:$A$20,'LYNN ids'!$B$1:$B$20,""))</f>
        <v>14uCOjuWxxahpyW0J5tCTsPM_LD3cvxyr</v>
      </c>
      <c r="W6" s="4" t="str">
        <f>IF(LYNN!W6="","",_xlfn.XLOOKUP(LYNN!W6,'LYNN ids'!$A$1:$A$20,'LYNN ids'!$B$1:$B$20,""))</f>
        <v>14uCOjuWxxahpyW0J5tCTsPM_LD3cvxyr</v>
      </c>
    </row>
    <row r="7" spans="1:23" x14ac:dyDescent="0.25">
      <c r="A7" s="3" t="s">
        <v>3</v>
      </c>
      <c r="B7" s="4" t="str">
        <f>IF(LYNN!B7="","",_xlfn.XLOOKUP(LYNN!B7,'LYNN ids'!$A$1:$A$20,'LYNN ids'!$B$1:$B$20,""))</f>
        <v>1pvum72Gav0Uo8l2Gv7XqWLHAcp7ebOav</v>
      </c>
      <c r="C7" s="4" t="str">
        <f>IF(LYNN!C7="","",_xlfn.XLOOKUP(LYNN!C7,'LYNN ids'!$A$1:$A$20,'LYNN ids'!$B$1:$B$20,""))</f>
        <v>1i6YgttRUxsS8eDzNreRHS1kLyFjc8Vbm</v>
      </c>
      <c r="D7" s="4" t="str">
        <f>IF(LYNN!D7="","",_xlfn.XLOOKUP(LYNN!D7,'LYNN ids'!$A$1:$A$20,'LYNN ids'!$B$1:$B$20,""))</f>
        <v>1_8XrgWpWpUec4gny3ZkWdj64jT2GJa9c</v>
      </c>
      <c r="E7" s="4" t="str">
        <f>IF(LYNN!E7="","",_xlfn.XLOOKUP(LYNN!E7,'LYNN ids'!$A$1:$A$20,'LYNN ids'!$B$1:$B$20,""))</f>
        <v>1I_HVTZQRAf_MjuUMOLp5geQoy-HQGOs5</v>
      </c>
      <c r="F7" s="4" t="str">
        <f>IF(LYNN!F7="","",_xlfn.XLOOKUP(LYNN!F7,'LYNN ids'!$A$1:$A$20,'LYNN ids'!$B$1:$B$20,""))</f>
        <v>14uCOjuWxxahpyW0J5tCTsPM_LD3cvxyr</v>
      </c>
      <c r="G7" s="4" t="str">
        <f>IF(LYNN!G7="","",_xlfn.XLOOKUP(LYNN!G7,'LYNN ids'!$A$1:$A$20,'LYNN ids'!$B$1:$B$20,""))</f>
        <v>1TlC1fMx-wUCxZY1xZiY0DEtoBfOgTShm</v>
      </c>
      <c r="H7" s="4" t="str">
        <f>IF(LYNN!H7="","",_xlfn.XLOOKUP(LYNN!H7,'LYNN ids'!$A$1:$A$20,'LYNN ids'!$B$1:$B$20,""))</f>
        <v>1TlC1fMx-wUCxZY1xZiY0DEtoBfOgTShm</v>
      </c>
      <c r="I7" s="4" t="str">
        <f>IF(LYNN!I7="","",_xlfn.XLOOKUP(LYNN!I7,'LYNN ids'!$A$1:$A$20,'LYNN ids'!$B$1:$B$20,""))</f>
        <v>1TlC1fMx-wUCxZY1xZiY0DEtoBfOgTShm</v>
      </c>
      <c r="J7" s="4" t="str">
        <f>IF(LYNN!J7="","",_xlfn.XLOOKUP(LYNN!J7,'LYNN ids'!$A$1:$A$20,'LYNN ids'!$B$1:$B$20,""))</f>
        <v>1TlC1fMx-wUCxZY1xZiY0DEtoBfOgTShm</v>
      </c>
      <c r="K7" s="4" t="str">
        <f>IF(LYNN!K7="","",_xlfn.XLOOKUP(LYNN!K7,'LYNN ids'!$A$1:$A$20,'LYNN ids'!$B$1:$B$20,""))</f>
        <v>1TlC1fMx-wUCxZY1xZiY0DEtoBfOgTShm</v>
      </c>
      <c r="L7" s="4" t="str">
        <f>IF(LYNN!L7="","",_xlfn.XLOOKUP(LYNN!L7,'LYNN ids'!$A$1:$A$20,'LYNN ids'!$B$1:$B$20,""))</f>
        <v>1h1RSiSTe8nrUgL9drpkfcOyaHLW0Vmr5</v>
      </c>
      <c r="M7" s="4" t="str">
        <f>IF(LYNN!M7="","",_xlfn.XLOOKUP(LYNN!M7,'LYNN ids'!$A$1:$A$20,'LYNN ids'!$B$1:$B$20,""))</f>
        <v>1TlC1fMx-wUCxZY1xZiY0DEtoBfOgTShm</v>
      </c>
      <c r="N7" s="4" t="str">
        <f>IF(LYNN!N7="","",_xlfn.XLOOKUP(LYNN!N7,'LYNN ids'!$A$1:$A$20,'LYNN ids'!$B$1:$B$20,""))</f>
        <v>1TlC1fMx-wUCxZY1xZiY0DEtoBfOgTShm</v>
      </c>
      <c r="O7" s="4" t="str">
        <f>IF(LYNN!O7="","",_xlfn.XLOOKUP(LYNN!O7,'LYNN ids'!$A$1:$A$20,'LYNN ids'!$B$1:$B$20,""))</f>
        <v>1WJLQaqCT-dbigvaPr0qwSqfWa2okmQuj</v>
      </c>
      <c r="P7" s="4" t="str">
        <f>IF(LYNN!P7="","",_xlfn.XLOOKUP(LYNN!P7,'LYNN ids'!$A$1:$A$20,'LYNN ids'!$B$1:$B$20,""))</f>
        <v>1hy21y43nwHZaLegDb93aDROu37Vp1JTn</v>
      </c>
      <c r="Q7" s="4" t="str">
        <f>IF(LYNN!Q7="","",_xlfn.XLOOKUP(LYNN!Q7,'LYNN ids'!$A$1:$A$20,'LYNN ids'!$B$1:$B$20,""))</f>
        <v>1TlC1fMx-wUCxZY1xZiY0DEtoBfOgTShm</v>
      </c>
      <c r="R7" s="4" t="str">
        <f>IF(LYNN!R7="","",_xlfn.XLOOKUP(LYNN!R7,'LYNN ids'!$A$1:$A$20,'LYNN ids'!$B$1:$B$20,""))</f>
        <v>1WJLQaqCT-dbigvaPr0qwSqfWa2okmQuj</v>
      </c>
      <c r="S7" s="4" t="str">
        <f>IF(LYNN!S7="","",_xlfn.XLOOKUP(LYNN!S7,'LYNN ids'!$A$1:$A$20,'LYNN ids'!$B$1:$B$20,""))</f>
        <v>1eErACYiOk3jQ2x4SoXSaidAA-qkmTaCG</v>
      </c>
      <c r="T7" s="4" t="str">
        <f>IF(LYNN!T7="","",_xlfn.XLOOKUP(LYNN!T7,'LYNN ids'!$A$1:$A$20,'LYNN ids'!$B$1:$B$20,""))</f>
        <v>1fVOTDgQc_VukLst1Vj82KytYqi_ziha0</v>
      </c>
      <c r="U7" s="4" t="str">
        <f>IF(LYNN!U7="","",_xlfn.XLOOKUP(LYNN!U7,'LYNN ids'!$A$1:$A$20,'LYNN ids'!$B$1:$B$20,""))</f>
        <v>14uCOjuWxxahpyW0J5tCTsPM_LD3cvxyr</v>
      </c>
      <c r="V7" s="4" t="str">
        <f>IF(LYNN!V7="","",_xlfn.XLOOKUP(LYNN!V7,'LYNN ids'!$A$1:$A$20,'LYNN ids'!$B$1:$B$20,""))</f>
        <v>14uCOjuWxxahpyW0J5tCTsPM_LD3cvxyr</v>
      </c>
      <c r="W7" s="4" t="str">
        <f>IF(LYNN!W7="","",_xlfn.XLOOKUP(LYNN!W7,'LYNN ids'!$A$1:$A$20,'LYNN ids'!$B$1:$B$20,""))</f>
        <v>14uCOjuWxxahpyW0J5tCTsPM_LD3cvxyr</v>
      </c>
    </row>
    <row r="8" spans="1:23" x14ac:dyDescent="0.25">
      <c r="A8" s="3" t="s">
        <v>4</v>
      </c>
      <c r="B8" s="4" t="str">
        <f>IF(LYNN!B8="","",_xlfn.XLOOKUP(LYNN!B8,'LYNN ids'!$A$1:$A$20,'LYNN ids'!$B$1:$B$20,""))</f>
        <v>1pvum72Gav0Uo8l2Gv7XqWLHAcp7ebOav</v>
      </c>
      <c r="C8" s="4" t="str">
        <f>IF(LYNN!C8="","",_xlfn.XLOOKUP(LYNN!C8,'LYNN ids'!$A$1:$A$20,'LYNN ids'!$B$1:$B$20,""))</f>
        <v>1i6YgttRUxsS8eDzNreRHS1kLyFjc8Vbm</v>
      </c>
      <c r="D8" s="4" t="str">
        <f>IF(LYNN!D8="","",_xlfn.XLOOKUP(LYNN!D8,'LYNN ids'!$A$1:$A$20,'LYNN ids'!$B$1:$B$20,""))</f>
        <v>1_8XrgWpWpUec4gny3ZkWdj64jT2GJa9c</v>
      </c>
      <c r="E8" s="4" t="str">
        <f>IF(LYNN!E8="","",_xlfn.XLOOKUP(LYNN!E8,'LYNN ids'!$A$1:$A$20,'LYNN ids'!$B$1:$B$20,""))</f>
        <v>1I_HVTZQRAf_MjuUMOLp5geQoy-HQGOs5</v>
      </c>
      <c r="F8" s="4" t="str">
        <f>IF(LYNN!F8="","",_xlfn.XLOOKUP(LYNN!F8,'LYNN ids'!$A$1:$A$20,'LYNN ids'!$B$1:$B$20,""))</f>
        <v>14uCOjuWxxahpyW0J5tCTsPM_LD3cvxyr</v>
      </c>
      <c r="G8" s="4" t="str">
        <f>IF(LYNN!G8="","",_xlfn.XLOOKUP(LYNN!G8,'LYNN ids'!$A$1:$A$20,'LYNN ids'!$B$1:$B$20,""))</f>
        <v>1TlC1fMx-wUCxZY1xZiY0DEtoBfOgTShm</v>
      </c>
      <c r="H8" s="4" t="str">
        <f>IF(LYNN!H8="","",_xlfn.XLOOKUP(LYNN!H8,'LYNN ids'!$A$1:$A$20,'LYNN ids'!$B$1:$B$20,""))</f>
        <v>1Vcm6nyosh52PWrXYbZw0z1hhlfD5bNIo</v>
      </c>
      <c r="I8" s="4" t="str">
        <f>IF(LYNN!I8="","",_xlfn.XLOOKUP(LYNN!I8,'LYNN ids'!$A$1:$A$20,'LYNN ids'!$B$1:$B$20,""))</f>
        <v>1Vcm6nyosh52PWrXYbZw0z1hhlfD5bNIo</v>
      </c>
      <c r="J8" s="4" t="str">
        <f>IF(LYNN!J8="","",_xlfn.XLOOKUP(LYNN!J8,'LYNN ids'!$A$1:$A$20,'LYNN ids'!$B$1:$B$20,""))</f>
        <v>1Vcm6nyosh52PWrXYbZw0z1hhlfD5bNIo</v>
      </c>
      <c r="K8" s="4" t="str">
        <f>IF(LYNN!K8="","",_xlfn.XLOOKUP(LYNN!K8,'LYNN ids'!$A$1:$A$20,'LYNN ids'!$B$1:$B$20,""))</f>
        <v>1Vcm6nyosh52PWrXYbZw0z1hhlfD5bNIo</v>
      </c>
      <c r="L8" s="4" t="str">
        <f>IF(LYNN!L8="","",_xlfn.XLOOKUP(LYNN!L8,'LYNN ids'!$A$1:$A$20,'LYNN ids'!$B$1:$B$20,""))</f>
        <v>1h1RSiSTe8nrUgL9drpkfcOyaHLW0Vmr5</v>
      </c>
      <c r="M8" s="4" t="str">
        <f>IF(LYNN!M8="","",_xlfn.XLOOKUP(LYNN!M8,'LYNN ids'!$A$1:$A$20,'LYNN ids'!$B$1:$B$20,""))</f>
        <v>1Vcm6nyosh52PWrXYbZw0z1hhlfD5bNIo</v>
      </c>
      <c r="N8" s="4" t="str">
        <f>IF(LYNN!N8="","",_xlfn.XLOOKUP(LYNN!N8,'LYNN ids'!$A$1:$A$20,'LYNN ids'!$B$1:$B$20,""))</f>
        <v>1Vcm6nyosh52PWrXYbZw0z1hhlfD5bNIo</v>
      </c>
      <c r="O8" s="4" t="str">
        <f>IF(LYNN!O8="","",_xlfn.XLOOKUP(LYNN!O8,'LYNN ids'!$A$1:$A$20,'LYNN ids'!$B$1:$B$20,""))</f>
        <v>1WJLQaqCT-dbigvaPr0qwSqfWa2okmQuj</v>
      </c>
      <c r="P8" s="4" t="str">
        <f>IF(LYNN!P8="","",_xlfn.XLOOKUP(LYNN!P8,'LYNN ids'!$A$1:$A$20,'LYNN ids'!$B$1:$B$20,""))</f>
        <v>1hy21y43nwHZaLegDb93aDROu37Vp1JTn</v>
      </c>
      <c r="Q8" s="4" t="str">
        <f>IF(LYNN!Q8="","",_xlfn.XLOOKUP(LYNN!Q8,'LYNN ids'!$A$1:$A$20,'LYNN ids'!$B$1:$B$20,""))</f>
        <v>1Vcm6nyosh52PWrXYbZw0z1hhlfD5bNIo</v>
      </c>
      <c r="R8" s="4" t="str">
        <f>IF(LYNN!R8="","",_xlfn.XLOOKUP(LYNN!R8,'LYNN ids'!$A$1:$A$20,'LYNN ids'!$B$1:$B$20,""))</f>
        <v>1WJLQaqCT-dbigvaPr0qwSqfWa2okmQuj</v>
      </c>
      <c r="S8" s="4" t="str">
        <f>IF(LYNN!S8="","",_xlfn.XLOOKUP(LYNN!S8,'LYNN ids'!$A$1:$A$20,'LYNN ids'!$B$1:$B$20,""))</f>
        <v>1eErACYiOk3jQ2x4SoXSaidAA-qkmTaCG</v>
      </c>
      <c r="T8" s="4" t="str">
        <f>IF(LYNN!T8="","",_xlfn.XLOOKUP(LYNN!T8,'LYNN ids'!$A$1:$A$20,'LYNN ids'!$B$1:$B$20,""))</f>
        <v>1fVOTDgQc_VukLst1Vj82KytYqi_ziha0</v>
      </c>
      <c r="U8" s="4" t="str">
        <f>IF(LYNN!U8="","",_xlfn.XLOOKUP(LYNN!U8,'LYNN ids'!$A$1:$A$20,'LYNN ids'!$B$1:$B$20,""))</f>
        <v>14uCOjuWxxahpyW0J5tCTsPM_LD3cvxyr</v>
      </c>
      <c r="V8" s="4" t="str">
        <f>IF(LYNN!V8="","",_xlfn.XLOOKUP(LYNN!V8,'LYNN ids'!$A$1:$A$20,'LYNN ids'!$B$1:$B$20,""))</f>
        <v>14uCOjuWxxahpyW0J5tCTsPM_LD3cvxyr</v>
      </c>
      <c r="W8" s="4" t="str">
        <f>IF(LYNN!W8="","",_xlfn.XLOOKUP(LYNN!W8,'LYNN ids'!$A$1:$A$20,'LYNN ids'!$B$1:$B$20,""))</f>
        <v>14uCOjuWxxahpyW0J5tCTsPM_LD3cvxyr</v>
      </c>
    </row>
    <row r="9" spans="1:23" x14ac:dyDescent="0.25">
      <c r="A9" s="3" t="s">
        <v>5</v>
      </c>
      <c r="B9" s="4" t="str">
        <f>IF(LYNN!B9="","",_xlfn.XLOOKUP(LYNN!B9,'LYNN ids'!$A$1:$A$20,'LYNN ids'!$B$1:$B$20,""))</f>
        <v>1nuzqw-fwBX5MyYFA7SCpoxlQ8wv3TzCW</v>
      </c>
      <c r="C9" s="4" t="str">
        <f>IF(LYNN!C9="","",_xlfn.XLOOKUP(LYNN!C9,'LYNN ids'!$A$1:$A$20,'LYNN ids'!$B$1:$B$20,""))</f>
        <v>1nuzqw-fwBX5MyYFA7SCpoxlQ8wv3TzCW</v>
      </c>
      <c r="D9" s="4" t="str">
        <f>IF(LYNN!D9="","",_xlfn.XLOOKUP(LYNN!D9,'LYNN ids'!$A$1:$A$20,'LYNN ids'!$B$1:$B$20,""))</f>
        <v>1nuzqw-fwBX5MyYFA7SCpoxlQ8wv3TzCW</v>
      </c>
      <c r="E9" s="4" t="str">
        <f>IF(LYNN!E9="","",_xlfn.XLOOKUP(LYNN!E9,'LYNN ids'!$A$1:$A$20,'LYNN ids'!$B$1:$B$20,""))</f>
        <v>1I_HVTZQRAf_MjuUMOLp5geQoy-HQGOs5</v>
      </c>
      <c r="F9" s="4" t="str">
        <f>IF(LYNN!F9="","",_xlfn.XLOOKUP(LYNN!F9,'LYNN ids'!$A$1:$A$20,'LYNN ids'!$B$1:$B$20,""))</f>
        <v>14uCOjuWxxahpyW0J5tCTsPM_LD3cvxyr</v>
      </c>
      <c r="G9" s="4" t="str">
        <f>IF(LYNN!G9="","",_xlfn.XLOOKUP(LYNN!G9,'LYNN ids'!$A$1:$A$20,'LYNN ids'!$B$1:$B$20,""))</f>
        <v>1TlC1fMx-wUCxZY1xZiY0DEtoBfOgTShm</v>
      </c>
      <c r="H9" s="4" t="str">
        <f>IF(LYNN!H9="","",_xlfn.XLOOKUP(LYNN!H9,'LYNN ids'!$A$1:$A$20,'LYNN ids'!$B$1:$B$20,""))</f>
        <v>1Vcm6nyosh52PWrXYbZw0z1hhlfD5bNIo</v>
      </c>
      <c r="I9" s="4" t="str">
        <f>IF(LYNN!I9="","",_xlfn.XLOOKUP(LYNN!I9,'LYNN ids'!$A$1:$A$20,'LYNN ids'!$B$1:$B$20,""))</f>
        <v>1nuzqw-fwBX5MyYFA7SCpoxlQ8wv3TzCW</v>
      </c>
      <c r="J9" s="4" t="str">
        <f>IF(LYNN!J9="","",_xlfn.XLOOKUP(LYNN!J9,'LYNN ids'!$A$1:$A$20,'LYNN ids'!$B$1:$B$20,""))</f>
        <v>1nuzqw-fwBX5MyYFA7SCpoxlQ8wv3TzCW</v>
      </c>
      <c r="K9" s="4" t="str">
        <f>IF(LYNN!K9="","",_xlfn.XLOOKUP(LYNN!K9,'LYNN ids'!$A$1:$A$20,'LYNN ids'!$B$1:$B$20,""))</f>
        <v>1nuzqw-fwBX5MyYFA7SCpoxlQ8wv3TzCW</v>
      </c>
      <c r="L9" s="4" t="str">
        <f>IF(LYNN!L9="","",_xlfn.XLOOKUP(LYNN!L9,'LYNN ids'!$A$1:$A$20,'LYNN ids'!$B$1:$B$20,""))</f>
        <v>1h1RSiSTe8nrUgL9drpkfcOyaHLW0Vmr5</v>
      </c>
      <c r="M9" s="4" t="str">
        <f>IF(LYNN!M9="","",_xlfn.XLOOKUP(LYNN!M9,'LYNN ids'!$A$1:$A$20,'LYNN ids'!$B$1:$B$20,""))</f>
        <v>1nuzqw-fwBX5MyYFA7SCpoxlQ8wv3TzCW</v>
      </c>
      <c r="N9" s="4" t="str">
        <f>IF(LYNN!N9="","",_xlfn.XLOOKUP(LYNN!N9,'LYNN ids'!$A$1:$A$20,'LYNN ids'!$B$1:$B$20,""))</f>
        <v>1nuzqw-fwBX5MyYFA7SCpoxlQ8wv3TzCW</v>
      </c>
      <c r="O9" s="4" t="str">
        <f>IF(LYNN!O9="","",_xlfn.XLOOKUP(LYNN!O9,'LYNN ids'!$A$1:$A$20,'LYNN ids'!$B$1:$B$20,""))</f>
        <v>1WJLQaqCT-dbigvaPr0qwSqfWa2okmQuj</v>
      </c>
      <c r="P9" s="4" t="str">
        <f>IF(LYNN!P9="","",_xlfn.XLOOKUP(LYNN!P9,'LYNN ids'!$A$1:$A$20,'LYNN ids'!$B$1:$B$20,""))</f>
        <v>1hy21y43nwHZaLegDb93aDROu37Vp1JTn</v>
      </c>
      <c r="Q9" s="4" t="str">
        <f>IF(LYNN!Q9="","",_xlfn.XLOOKUP(LYNN!Q9,'LYNN ids'!$A$1:$A$20,'LYNN ids'!$B$1:$B$20,""))</f>
        <v>1nuzqw-fwBX5MyYFA7SCpoxlQ8wv3TzCW</v>
      </c>
      <c r="R9" s="4" t="str">
        <f>IF(LYNN!R9="","",_xlfn.XLOOKUP(LYNN!R9,'LYNN ids'!$A$1:$A$20,'LYNN ids'!$B$1:$B$20,""))</f>
        <v>1WJLQaqCT-dbigvaPr0qwSqfWa2okmQuj</v>
      </c>
      <c r="S9" s="4" t="str">
        <f>IF(LYNN!S9="","",_xlfn.XLOOKUP(LYNN!S9,'LYNN ids'!$A$1:$A$20,'LYNN ids'!$B$1:$B$20,""))</f>
        <v>1eErACYiOk3jQ2x4SoXSaidAA-qkmTaCG</v>
      </c>
      <c r="T9" s="4" t="str">
        <f>IF(LYNN!T9="","",_xlfn.XLOOKUP(LYNN!T9,'LYNN ids'!$A$1:$A$20,'LYNN ids'!$B$1:$B$20,""))</f>
        <v>1fVOTDgQc_VukLst1Vj82KytYqi_ziha0</v>
      </c>
      <c r="U9" s="4" t="str">
        <f>IF(LYNN!U9="","",_xlfn.XLOOKUP(LYNN!U9,'LYNN ids'!$A$1:$A$20,'LYNN ids'!$B$1:$B$20,""))</f>
        <v>14uCOjuWxxahpyW0J5tCTsPM_LD3cvxyr</v>
      </c>
      <c r="V9" s="4" t="str">
        <f>IF(LYNN!V9="","",_xlfn.XLOOKUP(LYNN!V9,'LYNN ids'!$A$1:$A$20,'LYNN ids'!$B$1:$B$20,""))</f>
        <v>14uCOjuWxxahpyW0J5tCTsPM_LD3cvxyr</v>
      </c>
      <c r="W9" s="4" t="str">
        <f>IF(LYNN!W9="","",_xlfn.XLOOKUP(LYNN!W9,'LYNN ids'!$A$1:$A$20,'LYNN ids'!$B$1:$B$20,""))</f>
        <v>14uCOjuWxxahpyW0J5tCTsPM_LD3cvxyr</v>
      </c>
    </row>
    <row r="10" spans="1:23" x14ac:dyDescent="0.25">
      <c r="A10" s="3" t="s">
        <v>6</v>
      </c>
      <c r="B10" s="4" t="str">
        <f>IF(LYNN!B10="","",_xlfn.XLOOKUP(LYNN!B10,'LYNN ids'!$A$1:$A$20,'LYNN ids'!$B$1:$B$20,""))</f>
        <v>1nuzqw-fwBX5MyYFA7SCpoxlQ8wv3TzCW</v>
      </c>
      <c r="C10" s="4" t="str">
        <f>IF(LYNN!C10="","",_xlfn.XLOOKUP(LYNN!C10,'LYNN ids'!$A$1:$A$20,'LYNN ids'!$B$1:$B$20,""))</f>
        <v>1nuzqw-fwBX5MyYFA7SCpoxlQ8wv3TzCW</v>
      </c>
      <c r="D10" s="4" t="str">
        <f>IF(LYNN!D10="","",_xlfn.XLOOKUP(LYNN!D10,'LYNN ids'!$A$1:$A$20,'LYNN ids'!$B$1:$B$20,""))</f>
        <v>1nuzqw-fwBX5MyYFA7SCpoxlQ8wv3TzCW</v>
      </c>
      <c r="E10" s="4" t="str">
        <f>IF(LYNN!E10="","",_xlfn.XLOOKUP(LYNN!E10,'LYNN ids'!$A$1:$A$20,'LYNN ids'!$B$1:$B$20,""))</f>
        <v>1I_HVTZQRAf_MjuUMOLp5geQoy-HQGOs5</v>
      </c>
      <c r="F10" s="4" t="str">
        <f>IF(LYNN!F10="","",_xlfn.XLOOKUP(LYNN!F10,'LYNN ids'!$A$1:$A$20,'LYNN ids'!$B$1:$B$20,""))</f>
        <v>14uCOjuWxxahpyW0J5tCTsPM_LD3cvxyr</v>
      </c>
      <c r="G10" s="4" t="str">
        <f>IF(LYNN!G10="","",_xlfn.XLOOKUP(LYNN!G10,'LYNN ids'!$A$1:$A$20,'LYNN ids'!$B$1:$B$20,""))</f>
        <v>1TlC1fMx-wUCxZY1xZiY0DEtoBfOgTShm</v>
      </c>
      <c r="H10" s="4" t="str">
        <f>IF(LYNN!H10="","",_xlfn.XLOOKUP(LYNN!H10,'LYNN ids'!$A$1:$A$20,'LYNN ids'!$B$1:$B$20,""))</f>
        <v>1Vcm6nyosh52PWrXYbZw0z1hhlfD5bNIo</v>
      </c>
      <c r="I10" s="4" t="str">
        <f>IF(LYNN!I10="","",_xlfn.XLOOKUP(LYNN!I10,'LYNN ids'!$A$1:$A$20,'LYNN ids'!$B$1:$B$20,""))</f>
        <v>1nuzqw-fwBX5MyYFA7SCpoxlQ8wv3TzCW</v>
      </c>
      <c r="J10" s="4" t="str">
        <f>IF(LYNN!J10="","",_xlfn.XLOOKUP(LYNN!J10,'LYNN ids'!$A$1:$A$20,'LYNN ids'!$B$1:$B$20,""))</f>
        <v>1nuzqw-fwBX5MyYFA7SCpoxlQ8wv3TzCW</v>
      </c>
      <c r="K10" s="4" t="str">
        <f>IF(LYNN!K10="","",_xlfn.XLOOKUP(LYNN!K10,'LYNN ids'!$A$1:$A$20,'LYNN ids'!$B$1:$B$20,""))</f>
        <v>1nuzqw-fwBX5MyYFA7SCpoxlQ8wv3TzCW</v>
      </c>
      <c r="L10" s="4" t="str">
        <f>IF(LYNN!L10="","",_xlfn.XLOOKUP(LYNN!L10,'LYNN ids'!$A$1:$A$20,'LYNN ids'!$B$1:$B$20,""))</f>
        <v>1h1RSiSTe8nrUgL9drpkfcOyaHLW0Vmr5</v>
      </c>
      <c r="M10" s="4" t="str">
        <f>IF(LYNN!M10="","",_xlfn.XLOOKUP(LYNN!M10,'LYNN ids'!$A$1:$A$20,'LYNN ids'!$B$1:$B$20,""))</f>
        <v>1nuzqw-fwBX5MyYFA7SCpoxlQ8wv3TzCW</v>
      </c>
      <c r="N10" s="4" t="str">
        <f>IF(LYNN!N10="","",_xlfn.XLOOKUP(LYNN!N10,'LYNN ids'!$A$1:$A$20,'LYNN ids'!$B$1:$B$20,""))</f>
        <v>1nuzqw-fwBX5MyYFA7SCpoxlQ8wv3TzCW</v>
      </c>
      <c r="O10" s="4" t="str">
        <f>IF(LYNN!O10="","",_xlfn.XLOOKUP(LYNN!O10,'LYNN ids'!$A$1:$A$20,'LYNN ids'!$B$1:$B$20,""))</f>
        <v>1WJLQaqCT-dbigvaPr0qwSqfWa2okmQuj</v>
      </c>
      <c r="P10" s="4" t="str">
        <f>IF(LYNN!P10="","",_xlfn.XLOOKUP(LYNN!P10,'LYNN ids'!$A$1:$A$20,'LYNN ids'!$B$1:$B$20,""))</f>
        <v>1hy21y43nwHZaLegDb93aDROu37Vp1JTn</v>
      </c>
      <c r="Q10" s="4" t="str">
        <f>IF(LYNN!Q10="","",_xlfn.XLOOKUP(LYNN!Q10,'LYNN ids'!$A$1:$A$20,'LYNN ids'!$B$1:$B$20,""))</f>
        <v>1nuzqw-fwBX5MyYFA7SCpoxlQ8wv3TzCW</v>
      </c>
      <c r="R10" s="4" t="str">
        <f>IF(LYNN!R10="","",_xlfn.XLOOKUP(LYNN!R10,'LYNN ids'!$A$1:$A$20,'LYNN ids'!$B$1:$B$20,""))</f>
        <v>1WJLQaqCT-dbigvaPr0qwSqfWa2okmQuj</v>
      </c>
      <c r="S10" s="4" t="str">
        <f>IF(LYNN!S10="","",_xlfn.XLOOKUP(LYNN!S10,'LYNN ids'!$A$1:$A$20,'LYNN ids'!$B$1:$B$20,""))</f>
        <v>1eErACYiOk3jQ2x4SoXSaidAA-qkmTaCG</v>
      </c>
      <c r="T10" s="4" t="str">
        <f>IF(LYNN!T10="","",_xlfn.XLOOKUP(LYNN!T10,'LYNN ids'!$A$1:$A$20,'LYNN ids'!$B$1:$B$20,""))</f>
        <v>1fVOTDgQc_VukLst1Vj82KytYqi_ziha0</v>
      </c>
      <c r="U10" s="4" t="str">
        <f>IF(LYNN!U10="","",_xlfn.XLOOKUP(LYNN!U10,'LYNN ids'!$A$1:$A$20,'LYNN ids'!$B$1:$B$20,""))</f>
        <v>14uCOjuWxxahpyW0J5tCTsPM_LD3cvxyr</v>
      </c>
      <c r="V10" s="4" t="str">
        <f>IF(LYNN!V10="","",_xlfn.XLOOKUP(LYNN!V10,'LYNN ids'!$A$1:$A$20,'LYNN ids'!$B$1:$B$20,""))</f>
        <v>14uCOjuWxxahpyW0J5tCTsPM_LD3cvxyr</v>
      </c>
      <c r="W10" s="4" t="str">
        <f>IF(LYNN!W10="","",_xlfn.XLOOKUP(LYNN!W10,'LYNN ids'!$A$1:$A$20,'LYNN ids'!$B$1:$B$20,""))</f>
        <v>14uCOjuWxxahpyW0J5tCTsPM_LD3cvxyr</v>
      </c>
    </row>
    <row r="11" spans="1:23" x14ac:dyDescent="0.25">
      <c r="A11" s="3" t="s">
        <v>7</v>
      </c>
      <c r="B11" s="4" t="str">
        <f>IF(LYNN!B11="","",_xlfn.XLOOKUP(LYNN!B11,'LYNN ids'!$A$1:$A$20,'LYNN ids'!$B$1:$B$20,""))</f>
        <v>1pvum72Gav0Uo8l2Gv7XqWLHAcp7ebOav</v>
      </c>
      <c r="C11" s="4" t="str">
        <f>IF(LYNN!C11="","",_xlfn.XLOOKUP(LYNN!C11,'LYNN ids'!$A$1:$A$20,'LYNN ids'!$B$1:$B$20,""))</f>
        <v>1i6YgttRUxsS8eDzNreRHS1kLyFjc8Vbm</v>
      </c>
      <c r="D11" s="4" t="str">
        <f>IF(LYNN!D11="","",_xlfn.XLOOKUP(LYNN!D11,'LYNN ids'!$A$1:$A$20,'LYNN ids'!$B$1:$B$20,""))</f>
        <v>1_8XrgWpWpUec4gny3ZkWdj64jT2GJa9c</v>
      </c>
      <c r="E11" s="4" t="str">
        <f>IF(LYNN!E11="","",_xlfn.XLOOKUP(LYNN!E11,'LYNN ids'!$A$1:$A$20,'LYNN ids'!$B$1:$B$20,""))</f>
        <v>1I_HVTZQRAf_MjuUMOLp5geQoy-HQGOs5</v>
      </c>
      <c r="F11" s="4" t="str">
        <f>IF(LYNN!F11="","",_xlfn.XLOOKUP(LYNN!F11,'LYNN ids'!$A$1:$A$20,'LYNN ids'!$B$1:$B$20,""))</f>
        <v>14uCOjuWxxahpyW0J5tCTsPM_LD3cvxyr</v>
      </c>
      <c r="G11" s="4" t="str">
        <f>IF(LYNN!G11="","",_xlfn.XLOOKUP(LYNN!G11,'LYNN ids'!$A$1:$A$20,'LYNN ids'!$B$1:$B$20,""))</f>
        <v>1TlC1fMx-wUCxZY1xZiY0DEtoBfOgTShm</v>
      </c>
      <c r="H11" s="4" t="str">
        <f>IF(LYNN!H11="","",_xlfn.XLOOKUP(LYNN!H11,'LYNN ids'!$A$1:$A$20,'LYNN ids'!$B$1:$B$20,""))</f>
        <v>1Vcm6nyosh52PWrXYbZw0z1hhlfD5bNIo</v>
      </c>
      <c r="I11" s="4" t="str">
        <f>IF(LYNN!I11="","",_xlfn.XLOOKUP(LYNN!I11,'LYNN ids'!$A$1:$A$20,'LYNN ids'!$B$1:$B$20,""))</f>
        <v>1nuzqw-fwBX5MyYFA7SCpoxlQ8wv3TzCW</v>
      </c>
      <c r="J11" s="4" t="str">
        <f>IF(LYNN!J11="","",_xlfn.XLOOKUP(LYNN!J11,'LYNN ids'!$A$1:$A$20,'LYNN ids'!$B$1:$B$20,""))</f>
        <v>1nuzqw-fwBX5MyYFA7SCpoxlQ8wv3TzCW</v>
      </c>
      <c r="K11" s="4" t="str">
        <f>IF(LYNN!K11="","",_xlfn.XLOOKUP(LYNN!K11,'LYNN ids'!$A$1:$A$20,'LYNN ids'!$B$1:$B$20,""))</f>
        <v>1tp5aFpswfMYtgc_L4jUzXybzxgwJf2_t</v>
      </c>
      <c r="L11" s="4" t="str">
        <f>IF(LYNN!L11="","",_xlfn.XLOOKUP(LYNN!L11,'LYNN ids'!$A$1:$A$20,'LYNN ids'!$B$1:$B$20,""))</f>
        <v>1h1RSiSTe8nrUgL9drpkfcOyaHLW0Vmr5</v>
      </c>
      <c r="M11" s="4" t="str">
        <f>IF(LYNN!M11="","",_xlfn.XLOOKUP(LYNN!M11,'LYNN ids'!$A$1:$A$20,'LYNN ids'!$B$1:$B$20,""))</f>
        <v>1tp5aFpswfMYtgc_L4jUzXybzxgwJf2_t</v>
      </c>
      <c r="N11" s="4" t="str">
        <f>IF(LYNN!N11="","",_xlfn.XLOOKUP(LYNN!N11,'LYNN ids'!$A$1:$A$20,'LYNN ids'!$B$1:$B$20,""))</f>
        <v>1tp5aFpswfMYtgc_L4jUzXybzxgwJf2_t</v>
      </c>
      <c r="O11" s="4" t="str">
        <f>IF(LYNN!O11="","",_xlfn.XLOOKUP(LYNN!O11,'LYNN ids'!$A$1:$A$20,'LYNN ids'!$B$1:$B$20,""))</f>
        <v>1WJLQaqCT-dbigvaPr0qwSqfWa2okmQuj</v>
      </c>
      <c r="P11" s="4" t="str">
        <f>IF(LYNN!P11="","",_xlfn.XLOOKUP(LYNN!P11,'LYNN ids'!$A$1:$A$20,'LYNN ids'!$B$1:$B$20,""))</f>
        <v>1hy21y43nwHZaLegDb93aDROu37Vp1JTn</v>
      </c>
      <c r="Q11" s="4" t="str">
        <f>IF(LYNN!Q11="","",_xlfn.XLOOKUP(LYNN!Q11,'LYNN ids'!$A$1:$A$20,'LYNN ids'!$B$1:$B$20,""))</f>
        <v>1tp5aFpswfMYtgc_L4jUzXybzxgwJf2_t</v>
      </c>
      <c r="R11" s="4" t="str">
        <f>IF(LYNN!R11="","",_xlfn.XLOOKUP(LYNN!R11,'LYNN ids'!$A$1:$A$20,'LYNN ids'!$B$1:$B$20,""))</f>
        <v>1WJLQaqCT-dbigvaPr0qwSqfWa2okmQuj</v>
      </c>
      <c r="S11" s="4" t="str">
        <f>IF(LYNN!S11="","",_xlfn.XLOOKUP(LYNN!S11,'LYNN ids'!$A$1:$A$20,'LYNN ids'!$B$1:$B$20,""))</f>
        <v>1eErACYiOk3jQ2x4SoXSaidAA-qkmTaCG</v>
      </c>
      <c r="T11" s="4" t="str">
        <f>IF(LYNN!T11="","",_xlfn.XLOOKUP(LYNN!T11,'LYNN ids'!$A$1:$A$20,'LYNN ids'!$B$1:$B$20,""))</f>
        <v>1fVOTDgQc_VukLst1Vj82KytYqi_ziha0</v>
      </c>
      <c r="U11" s="4" t="str">
        <f>IF(LYNN!U11="","",_xlfn.XLOOKUP(LYNN!U11,'LYNN ids'!$A$1:$A$20,'LYNN ids'!$B$1:$B$20,""))</f>
        <v>14uCOjuWxxahpyW0J5tCTsPM_LD3cvxyr</v>
      </c>
      <c r="V11" s="4" t="str">
        <f>IF(LYNN!V11="","",_xlfn.XLOOKUP(LYNN!V11,'LYNN ids'!$A$1:$A$20,'LYNN ids'!$B$1:$B$20,""))</f>
        <v>14uCOjuWxxahpyW0J5tCTsPM_LD3cvxyr</v>
      </c>
      <c r="W11" s="4" t="str">
        <f>IF(LYNN!W11="","",_xlfn.XLOOKUP(LYNN!W11,'LYNN ids'!$A$1:$A$20,'LYNN ids'!$B$1:$B$20,""))</f>
        <v>14uCOjuWxxahpyW0J5tCTsPM_LD3cvxyr</v>
      </c>
    </row>
    <row r="12" spans="1:23" x14ac:dyDescent="0.25">
      <c r="A12" s="3" t="s">
        <v>8</v>
      </c>
      <c r="B12" s="4" t="str">
        <f>IF(LYNN!B12="","",_xlfn.XLOOKUP(LYNN!B12,'LYNN ids'!$A$1:$A$20,'LYNN ids'!$B$1:$B$20,""))</f>
        <v>1h1RSiSTe8nrUgL9drpkfcOyaHLW0Vmr5</v>
      </c>
      <c r="C12" s="4" t="str">
        <f>IF(LYNN!C12="","",_xlfn.XLOOKUP(LYNN!C12,'LYNN ids'!$A$1:$A$20,'LYNN ids'!$B$1:$B$20,""))</f>
        <v>1h1RSiSTe8nrUgL9drpkfcOyaHLW0Vmr5</v>
      </c>
      <c r="D12" s="4" t="str">
        <f>IF(LYNN!D12="","",_xlfn.XLOOKUP(LYNN!D12,'LYNN ids'!$A$1:$A$20,'LYNN ids'!$B$1:$B$20,""))</f>
        <v>1h1RSiSTe8nrUgL9drpkfcOyaHLW0Vmr5</v>
      </c>
      <c r="E12" s="4" t="str">
        <f>IF(LYNN!E12="","",_xlfn.XLOOKUP(LYNN!E12,'LYNN ids'!$A$1:$A$20,'LYNN ids'!$B$1:$B$20,""))</f>
        <v>1I_HVTZQRAf_MjuUMOLp5geQoy-HQGOs5</v>
      </c>
      <c r="F12" s="4" t="str">
        <f>IF(LYNN!F12="","",_xlfn.XLOOKUP(LYNN!F12,'LYNN ids'!$A$1:$A$20,'LYNN ids'!$B$1:$B$20,""))</f>
        <v>1h1RSiSTe8nrUgL9drpkfcOyaHLW0Vmr5</v>
      </c>
      <c r="G12" s="4" t="str">
        <f>IF(LYNN!G12="","",_xlfn.XLOOKUP(LYNN!G12,'LYNN ids'!$A$1:$A$20,'LYNN ids'!$B$1:$B$20,""))</f>
        <v>1h1RSiSTe8nrUgL9drpkfcOyaHLW0Vmr5</v>
      </c>
      <c r="H12" s="4" t="str">
        <f>IF(LYNN!H12="","",_xlfn.XLOOKUP(LYNN!H12,'LYNN ids'!$A$1:$A$20,'LYNN ids'!$B$1:$B$20,""))</f>
        <v>1h1RSiSTe8nrUgL9drpkfcOyaHLW0Vmr5</v>
      </c>
      <c r="I12" s="4" t="str">
        <f>IF(LYNN!I12="","",_xlfn.XLOOKUP(LYNN!I12,'LYNN ids'!$A$1:$A$20,'LYNN ids'!$B$1:$B$20,""))</f>
        <v>1h1RSiSTe8nrUgL9drpkfcOyaHLW0Vmr5</v>
      </c>
      <c r="J12" s="4" t="str">
        <f>IF(LYNN!J12="","",_xlfn.XLOOKUP(LYNN!J12,'LYNN ids'!$A$1:$A$20,'LYNN ids'!$B$1:$B$20,""))</f>
        <v>1h1RSiSTe8nrUgL9drpkfcOyaHLW0Vmr5</v>
      </c>
      <c r="K12" s="4" t="str">
        <f>IF(LYNN!K12="","",_xlfn.XLOOKUP(LYNN!K12,'LYNN ids'!$A$1:$A$20,'LYNN ids'!$B$1:$B$20,""))</f>
        <v>1h1RSiSTe8nrUgL9drpkfcOyaHLW0Vmr5</v>
      </c>
      <c r="L12" s="4" t="str">
        <f>IF(LYNN!L12="","",_xlfn.XLOOKUP(LYNN!L12,'LYNN ids'!$A$1:$A$20,'LYNN ids'!$B$1:$B$20,""))</f>
        <v>1h1RSiSTe8nrUgL9drpkfcOyaHLW0Vmr5</v>
      </c>
      <c r="M12" s="4" t="str">
        <f>IF(LYNN!M12="","",_xlfn.XLOOKUP(LYNN!M12,'LYNN ids'!$A$1:$A$20,'LYNN ids'!$B$1:$B$20,""))</f>
        <v>1h1RSiSTe8nrUgL9drpkfcOyaHLW0Vmr5</v>
      </c>
      <c r="N12" s="4" t="str">
        <f>IF(LYNN!N12="","",_xlfn.XLOOKUP(LYNN!N12,'LYNN ids'!$A$1:$A$20,'LYNN ids'!$B$1:$B$20,""))</f>
        <v>1h1RSiSTe8nrUgL9drpkfcOyaHLW0Vmr5</v>
      </c>
      <c r="O12" s="4" t="str">
        <f>IF(LYNN!O12="","",_xlfn.XLOOKUP(LYNN!O12,'LYNN ids'!$A$1:$A$20,'LYNN ids'!$B$1:$B$20,""))</f>
        <v>1WJLQaqCT-dbigvaPr0qwSqfWa2okmQuj</v>
      </c>
      <c r="P12" s="4" t="str">
        <f>IF(LYNN!P12="","",_xlfn.XLOOKUP(LYNN!P12,'LYNN ids'!$A$1:$A$20,'LYNN ids'!$B$1:$B$20,""))</f>
        <v>1h1RSiSTe8nrUgL9drpkfcOyaHLW0Vmr5</v>
      </c>
      <c r="Q12" s="4" t="str">
        <f>IF(LYNN!Q12="","",_xlfn.XLOOKUP(LYNN!Q12,'LYNN ids'!$A$1:$A$20,'LYNN ids'!$B$1:$B$20,""))</f>
        <v>1h1RSiSTe8nrUgL9drpkfcOyaHLW0Vmr5</v>
      </c>
      <c r="R12" s="4" t="str">
        <f>IF(LYNN!R12="","",_xlfn.XLOOKUP(LYNN!R12,'LYNN ids'!$A$1:$A$20,'LYNN ids'!$B$1:$B$20,""))</f>
        <v>1WJLQaqCT-dbigvaPr0qwSqfWa2okmQuj</v>
      </c>
      <c r="S12" s="4" t="str">
        <f>IF(LYNN!S12="","",_xlfn.XLOOKUP(LYNN!S12,'LYNN ids'!$A$1:$A$20,'LYNN ids'!$B$1:$B$20,""))</f>
        <v>1h1RSiSTe8nrUgL9drpkfcOyaHLW0Vmr5</v>
      </c>
      <c r="T12" s="4" t="str">
        <f>IF(LYNN!T12="","",_xlfn.XLOOKUP(LYNN!T12,'LYNN ids'!$A$1:$A$20,'LYNN ids'!$B$1:$B$20,""))</f>
        <v>1fVOTDgQc_VukLst1Vj82KytYqi_ziha0</v>
      </c>
      <c r="U12" s="4" t="str">
        <f>IF(LYNN!U12="","",_xlfn.XLOOKUP(LYNN!U12,'LYNN ids'!$A$1:$A$20,'LYNN ids'!$B$1:$B$20,""))</f>
        <v>1h1RSiSTe8nrUgL9drpkfcOyaHLW0Vmr5</v>
      </c>
      <c r="V12" s="4" t="str">
        <f>IF(LYNN!V12="","",_xlfn.XLOOKUP(LYNN!V12,'LYNN ids'!$A$1:$A$20,'LYNN ids'!$B$1:$B$20,""))</f>
        <v>1h1RSiSTe8nrUgL9drpkfcOyaHLW0Vmr5</v>
      </c>
      <c r="W12" s="4" t="str">
        <f>IF(LYNN!W12="","",_xlfn.XLOOKUP(LYNN!W12,'LYNN ids'!$A$1:$A$20,'LYNN ids'!$B$1:$B$20,""))</f>
        <v>1h1RSiSTe8nrUgL9drpkfcOyaHLW0Vmr5</v>
      </c>
    </row>
    <row r="13" spans="1:23" x14ac:dyDescent="0.25">
      <c r="A13" s="3" t="s">
        <v>9</v>
      </c>
      <c r="B13" s="4" t="str">
        <f>IF(LYNN!B13="","",_xlfn.XLOOKUP(LYNN!B13,'LYNN ids'!$A$1:$A$20,'LYNN ids'!$B$1:$B$20,""))</f>
        <v>1pvum72Gav0Uo8l2Gv7XqWLHAcp7ebOav</v>
      </c>
      <c r="C13" s="4" t="str">
        <f>IF(LYNN!C13="","",_xlfn.XLOOKUP(LYNN!C13,'LYNN ids'!$A$1:$A$20,'LYNN ids'!$B$1:$B$20,""))</f>
        <v>1i6YgttRUxsS8eDzNreRHS1kLyFjc8Vbm</v>
      </c>
      <c r="D13" s="4" t="str">
        <f>IF(LYNN!D13="","",_xlfn.XLOOKUP(LYNN!D13,'LYNN ids'!$A$1:$A$20,'LYNN ids'!$B$1:$B$20,""))</f>
        <v>1_8XrgWpWpUec4gny3ZkWdj64jT2GJa9c</v>
      </c>
      <c r="E13" s="4" t="str">
        <f>IF(LYNN!E13="","",_xlfn.XLOOKUP(LYNN!E13,'LYNN ids'!$A$1:$A$20,'LYNN ids'!$B$1:$B$20,""))</f>
        <v>1I_HVTZQRAf_MjuUMOLp5geQoy-HQGOs5</v>
      </c>
      <c r="F13" s="4" t="str">
        <f>IF(LYNN!F13="","",_xlfn.XLOOKUP(LYNN!F13,'LYNN ids'!$A$1:$A$20,'LYNN ids'!$B$1:$B$20,""))</f>
        <v>14uCOjuWxxahpyW0J5tCTsPM_LD3cvxyr</v>
      </c>
      <c r="G13" s="4" t="str">
        <f>IF(LYNN!G13="","",_xlfn.XLOOKUP(LYNN!G13,'LYNN ids'!$A$1:$A$20,'LYNN ids'!$B$1:$B$20,""))</f>
        <v>1TlC1fMx-wUCxZY1xZiY0DEtoBfOgTShm</v>
      </c>
      <c r="H13" s="4" t="str">
        <f>IF(LYNN!H13="","",_xlfn.XLOOKUP(LYNN!H13,'LYNN ids'!$A$1:$A$20,'LYNN ids'!$B$1:$B$20,""))</f>
        <v>1Vcm6nyosh52PWrXYbZw0z1hhlfD5bNIo</v>
      </c>
      <c r="I13" s="4" t="str">
        <f>IF(LYNN!I13="","",_xlfn.XLOOKUP(LYNN!I13,'LYNN ids'!$A$1:$A$20,'LYNN ids'!$B$1:$B$20,""))</f>
        <v>1nuzqw-fwBX5MyYFA7SCpoxlQ8wv3TzCW</v>
      </c>
      <c r="J13" s="4" t="str">
        <f>IF(LYNN!J13="","",_xlfn.XLOOKUP(LYNN!J13,'LYNN ids'!$A$1:$A$20,'LYNN ids'!$B$1:$B$20,""))</f>
        <v>1nuzqw-fwBX5MyYFA7SCpoxlQ8wv3TzCW</v>
      </c>
      <c r="K13" s="4" t="str">
        <f>IF(LYNN!K13="","",_xlfn.XLOOKUP(LYNN!K13,'LYNN ids'!$A$1:$A$20,'LYNN ids'!$B$1:$B$20,""))</f>
        <v>1tp5aFpswfMYtgc_L4jUzXybzxgwJf2_t</v>
      </c>
      <c r="L13" s="4" t="str">
        <f>IF(LYNN!L13="","",_xlfn.XLOOKUP(LYNN!L13,'LYNN ids'!$A$1:$A$20,'LYNN ids'!$B$1:$B$20,""))</f>
        <v>1h1RSiSTe8nrUgL9drpkfcOyaHLW0Vmr5</v>
      </c>
      <c r="M13" s="4" t="str">
        <f>IF(LYNN!M13="","",_xlfn.XLOOKUP(LYNN!M13,'LYNN ids'!$A$1:$A$20,'LYNN ids'!$B$1:$B$20,""))</f>
        <v>1tp5aFpswfMYtgc_L4jUzXybzxgwJf2_t</v>
      </c>
      <c r="N13" s="4" t="str">
        <f>IF(LYNN!N13="","",_xlfn.XLOOKUP(LYNN!N13,'LYNN ids'!$A$1:$A$20,'LYNN ids'!$B$1:$B$20,""))</f>
        <v>1tp5aFpswfMYtgc_L4jUzXybzxgwJf2_t</v>
      </c>
      <c r="O13" s="4" t="str">
        <f>IF(LYNN!O13="","",_xlfn.XLOOKUP(LYNN!O13,'LYNN ids'!$A$1:$A$20,'LYNN ids'!$B$1:$B$20,""))</f>
        <v>1WJLQaqCT-dbigvaPr0qwSqfWa2okmQuj</v>
      </c>
      <c r="P13" s="4" t="str">
        <f>IF(LYNN!P13="","",_xlfn.XLOOKUP(LYNN!P13,'LYNN ids'!$A$1:$A$20,'LYNN ids'!$B$1:$B$20,""))</f>
        <v>1hy21y43nwHZaLegDb93aDROu37Vp1JTn</v>
      </c>
      <c r="Q13" s="4" t="str">
        <f>IF(LYNN!Q13="","",_xlfn.XLOOKUP(LYNN!Q13,'LYNN ids'!$A$1:$A$20,'LYNN ids'!$B$1:$B$20,""))</f>
        <v>1tp5aFpswfMYtgc_L4jUzXybzxgwJf2_t</v>
      </c>
      <c r="R13" s="4" t="str">
        <f>IF(LYNN!R13="","",_xlfn.XLOOKUP(LYNN!R13,'LYNN ids'!$A$1:$A$20,'LYNN ids'!$B$1:$B$20,""))</f>
        <v>1WJLQaqCT-dbigvaPr0qwSqfWa2okmQuj</v>
      </c>
      <c r="S13" s="4" t="str">
        <f>IF(LYNN!S13="","",_xlfn.XLOOKUP(LYNN!S13,'LYNN ids'!$A$1:$A$20,'LYNN ids'!$B$1:$B$20,""))</f>
        <v>1eErACYiOk3jQ2x4SoXSaidAA-qkmTaCG</v>
      </c>
      <c r="T13" s="4" t="str">
        <f>IF(LYNN!T13="","",_xlfn.XLOOKUP(LYNN!T13,'LYNN ids'!$A$1:$A$20,'LYNN ids'!$B$1:$B$20,""))</f>
        <v>1fVOTDgQc_VukLst1Vj82KytYqi_ziha0</v>
      </c>
      <c r="U13" s="4" t="str">
        <f>IF(LYNN!U13="","",_xlfn.XLOOKUP(LYNN!U13,'LYNN ids'!$A$1:$A$20,'LYNN ids'!$B$1:$B$20,""))</f>
        <v>14uCOjuWxxahpyW0J5tCTsPM_LD3cvxyr</v>
      </c>
      <c r="V13" s="4" t="str">
        <f>IF(LYNN!V13="","",_xlfn.XLOOKUP(LYNN!V13,'LYNN ids'!$A$1:$A$20,'LYNN ids'!$B$1:$B$20,""))</f>
        <v>14uCOjuWxxahpyW0J5tCTsPM_LD3cvxyr</v>
      </c>
      <c r="W13" s="4" t="str">
        <f>IF(LYNN!W13="","",_xlfn.XLOOKUP(LYNN!W13,'LYNN ids'!$A$1:$A$20,'LYNN ids'!$B$1:$B$20,""))</f>
        <v>14uCOjuWxxahpyW0J5tCTsPM_LD3cvxyr</v>
      </c>
    </row>
    <row r="14" spans="1:23" x14ac:dyDescent="0.25">
      <c r="A14" s="3" t="s">
        <v>10</v>
      </c>
      <c r="B14" s="4" t="str">
        <f>IF(LYNN!B14="","",_xlfn.XLOOKUP(LYNN!B14,'LYNN ids'!$A$1:$A$20,'LYNN ids'!$B$1:$B$20,""))</f>
        <v>1pvum72Gav0Uo8l2Gv7XqWLHAcp7ebOav</v>
      </c>
      <c r="C14" s="4" t="str">
        <f>IF(LYNN!C14="","",_xlfn.XLOOKUP(LYNN!C14,'LYNN ids'!$A$1:$A$20,'LYNN ids'!$B$1:$B$20,""))</f>
        <v>1i6YgttRUxsS8eDzNreRHS1kLyFjc8Vbm</v>
      </c>
      <c r="D14" s="4" t="str">
        <f>IF(LYNN!D14="","",_xlfn.XLOOKUP(LYNN!D14,'LYNN ids'!$A$1:$A$20,'LYNN ids'!$B$1:$B$20,""))</f>
        <v>1_8XrgWpWpUec4gny3ZkWdj64jT2GJa9c</v>
      </c>
      <c r="E14" s="4" t="str">
        <f>IF(LYNN!E14="","",_xlfn.XLOOKUP(LYNN!E14,'LYNN ids'!$A$1:$A$20,'LYNN ids'!$B$1:$B$20,""))</f>
        <v>1I_HVTZQRAf_MjuUMOLp5geQoy-HQGOs5</v>
      </c>
      <c r="F14" s="4" t="str">
        <f>IF(LYNN!F14="","",_xlfn.XLOOKUP(LYNN!F14,'LYNN ids'!$A$1:$A$20,'LYNN ids'!$B$1:$B$20,""))</f>
        <v>14uCOjuWxxahpyW0J5tCTsPM_LD3cvxyr</v>
      </c>
      <c r="G14" s="4" t="str">
        <f>IF(LYNN!G14="","",_xlfn.XLOOKUP(LYNN!G14,'LYNN ids'!$A$1:$A$20,'LYNN ids'!$B$1:$B$20,""))</f>
        <v>1TlC1fMx-wUCxZY1xZiY0DEtoBfOgTShm</v>
      </c>
      <c r="H14" s="4" t="str">
        <f>IF(LYNN!H14="","",_xlfn.XLOOKUP(LYNN!H14,'LYNN ids'!$A$1:$A$20,'LYNN ids'!$B$1:$B$20,""))</f>
        <v>1Vcm6nyosh52PWrXYbZw0z1hhlfD5bNIo</v>
      </c>
      <c r="I14" s="4" t="str">
        <f>IF(LYNN!I14="","",_xlfn.XLOOKUP(LYNN!I14,'LYNN ids'!$A$1:$A$20,'LYNN ids'!$B$1:$B$20,""))</f>
        <v>1nuzqw-fwBX5MyYFA7SCpoxlQ8wv3TzCW</v>
      </c>
      <c r="J14" s="4" t="str">
        <f>IF(LYNN!J14="","",_xlfn.XLOOKUP(LYNN!J14,'LYNN ids'!$A$1:$A$20,'LYNN ids'!$B$1:$B$20,""))</f>
        <v>1nuzqw-fwBX5MyYFA7SCpoxlQ8wv3TzCW</v>
      </c>
      <c r="K14" s="4" t="str">
        <f>IF(LYNN!K14="","",_xlfn.XLOOKUP(LYNN!K14,'LYNN ids'!$A$1:$A$20,'LYNN ids'!$B$1:$B$20,""))</f>
        <v>1tp5aFpswfMYtgc_L4jUzXybzxgwJf2_t</v>
      </c>
      <c r="L14" s="4" t="str">
        <f>IF(LYNN!L14="","",_xlfn.XLOOKUP(LYNN!L14,'LYNN ids'!$A$1:$A$20,'LYNN ids'!$B$1:$B$20,""))</f>
        <v>1h1RSiSTe8nrUgL9drpkfcOyaHLW0Vmr5</v>
      </c>
      <c r="M14" s="4" t="str">
        <f>IF(LYNN!M14="","",_xlfn.XLOOKUP(LYNN!M14,'LYNN ids'!$A$1:$A$20,'LYNN ids'!$B$1:$B$20,""))</f>
        <v>1tp5aFpswfMYtgc_L4jUzXybzxgwJf2_t</v>
      </c>
      <c r="N14" s="4" t="str">
        <f>IF(LYNN!N14="","",_xlfn.XLOOKUP(LYNN!N14,'LYNN ids'!$A$1:$A$20,'LYNN ids'!$B$1:$B$20,""))</f>
        <v>1tp5aFpswfMYtgc_L4jUzXybzxgwJf2_t</v>
      </c>
      <c r="O14" s="4" t="str">
        <f>IF(LYNN!O14="","",_xlfn.XLOOKUP(LYNN!O14,'LYNN ids'!$A$1:$A$20,'LYNN ids'!$B$1:$B$20,""))</f>
        <v>1WJLQaqCT-dbigvaPr0qwSqfWa2okmQuj</v>
      </c>
      <c r="P14" s="4" t="str">
        <f>IF(LYNN!P14="","",_xlfn.XLOOKUP(LYNN!P14,'LYNN ids'!$A$1:$A$20,'LYNN ids'!$B$1:$B$20,""))</f>
        <v>1hy21y43nwHZaLegDb93aDROu37Vp1JTn</v>
      </c>
      <c r="Q14" s="4" t="str">
        <f>IF(LYNN!Q14="","",_xlfn.XLOOKUP(LYNN!Q14,'LYNN ids'!$A$1:$A$20,'LYNN ids'!$B$1:$B$20,""))</f>
        <v>1tp5aFpswfMYtgc_L4jUzXybzxgwJf2_t</v>
      </c>
      <c r="R14" s="4" t="str">
        <f>IF(LYNN!R14="","",_xlfn.XLOOKUP(LYNN!R14,'LYNN ids'!$A$1:$A$20,'LYNN ids'!$B$1:$B$20,""))</f>
        <v>1WJLQaqCT-dbigvaPr0qwSqfWa2okmQuj</v>
      </c>
      <c r="S14" s="4" t="str">
        <f>IF(LYNN!S14="","",_xlfn.XLOOKUP(LYNN!S14,'LYNN ids'!$A$1:$A$20,'LYNN ids'!$B$1:$B$20,""))</f>
        <v>1eErACYiOk3jQ2x4SoXSaidAA-qkmTaCG</v>
      </c>
      <c r="T14" s="4" t="str">
        <f>IF(LYNN!T14="","",_xlfn.XLOOKUP(LYNN!T14,'LYNN ids'!$A$1:$A$20,'LYNN ids'!$B$1:$B$20,""))</f>
        <v>1fVOTDgQc_VukLst1Vj82KytYqi_ziha0</v>
      </c>
      <c r="U14" s="4" t="str">
        <f>IF(LYNN!U14="","",_xlfn.XLOOKUP(LYNN!U14,'LYNN ids'!$A$1:$A$20,'LYNN ids'!$B$1:$B$20,""))</f>
        <v>14uCOjuWxxahpyW0J5tCTsPM_LD3cvxyr</v>
      </c>
      <c r="V14" s="4" t="str">
        <f>IF(LYNN!V14="","",_xlfn.XLOOKUP(LYNN!V14,'LYNN ids'!$A$1:$A$20,'LYNN ids'!$B$1:$B$20,""))</f>
        <v>14uCOjuWxxahpyW0J5tCTsPM_LD3cvxyr</v>
      </c>
      <c r="W14" s="4" t="str">
        <f>IF(LYNN!W14="","",_xlfn.XLOOKUP(LYNN!W14,'LYNN ids'!$A$1:$A$20,'LYNN ids'!$B$1:$B$20,""))</f>
        <v>14uCOjuWxxahpyW0J5tCTsPM_LD3cvxyr</v>
      </c>
    </row>
    <row r="15" spans="1:23" x14ac:dyDescent="0.25">
      <c r="A15" s="3" t="s">
        <v>11</v>
      </c>
      <c r="B15" s="4" t="str">
        <f>IF(LYNN!B15="","",_xlfn.XLOOKUP(LYNN!B15,'LYNN ids'!$A$1:$A$20,'LYNN ids'!$B$1:$B$20,""))</f>
        <v>1pvum72Gav0Uo8l2Gv7XqWLHAcp7ebOav</v>
      </c>
      <c r="C15" s="4" t="str">
        <f>IF(LYNN!C15="","",_xlfn.XLOOKUP(LYNN!C15,'LYNN ids'!$A$1:$A$20,'LYNN ids'!$B$1:$B$20,""))</f>
        <v>1i6YgttRUxsS8eDzNreRHS1kLyFjc8Vbm</v>
      </c>
      <c r="D15" s="4" t="str">
        <f>IF(LYNN!D15="","",_xlfn.XLOOKUP(LYNN!D15,'LYNN ids'!$A$1:$A$20,'LYNN ids'!$B$1:$B$20,""))</f>
        <v>1_8XrgWpWpUec4gny3ZkWdj64jT2GJa9c</v>
      </c>
      <c r="E15" s="4" t="str">
        <f>IF(LYNN!E15="","",_xlfn.XLOOKUP(LYNN!E15,'LYNN ids'!$A$1:$A$20,'LYNN ids'!$B$1:$B$20,""))</f>
        <v>1I_HVTZQRAf_MjuUMOLp5geQoy-HQGOs5</v>
      </c>
      <c r="F15" s="4" t="str">
        <f>IF(LYNN!F15="","",_xlfn.XLOOKUP(LYNN!F15,'LYNN ids'!$A$1:$A$20,'LYNN ids'!$B$1:$B$20,""))</f>
        <v>1WJLQaqCT-dbigvaPr0qwSqfWa2okmQuj</v>
      </c>
      <c r="G15" s="4" t="str">
        <f>IF(LYNN!G15="","",_xlfn.XLOOKUP(LYNN!G15,'LYNN ids'!$A$1:$A$20,'LYNN ids'!$B$1:$B$20,""))</f>
        <v>1WJLQaqCT-dbigvaPr0qwSqfWa2okmQuj</v>
      </c>
      <c r="H15" s="4" t="str">
        <f>IF(LYNN!H15="","",_xlfn.XLOOKUP(LYNN!H15,'LYNN ids'!$A$1:$A$20,'LYNN ids'!$B$1:$B$20,""))</f>
        <v>1WJLQaqCT-dbigvaPr0qwSqfWa2okmQuj</v>
      </c>
      <c r="I15" s="4" t="str">
        <f>IF(LYNN!I15="","",_xlfn.XLOOKUP(LYNN!I15,'LYNN ids'!$A$1:$A$20,'LYNN ids'!$B$1:$B$20,""))</f>
        <v>1WJLQaqCT-dbigvaPr0qwSqfWa2okmQuj</v>
      </c>
      <c r="J15" s="4" t="str">
        <f>IF(LYNN!J15="","",_xlfn.XLOOKUP(LYNN!J15,'LYNN ids'!$A$1:$A$20,'LYNN ids'!$B$1:$B$20,""))</f>
        <v>1WJLQaqCT-dbigvaPr0qwSqfWa2okmQuj</v>
      </c>
      <c r="K15" s="4" t="str">
        <f>IF(LYNN!K15="","",_xlfn.XLOOKUP(LYNN!K15,'LYNN ids'!$A$1:$A$20,'LYNN ids'!$B$1:$B$20,""))</f>
        <v>1WJLQaqCT-dbigvaPr0qwSqfWa2okmQuj</v>
      </c>
      <c r="L15" s="4" t="str">
        <f>IF(LYNN!L15="","",_xlfn.XLOOKUP(LYNN!L15,'LYNN ids'!$A$1:$A$20,'LYNN ids'!$B$1:$B$20,""))</f>
        <v>1WJLQaqCT-dbigvaPr0qwSqfWa2okmQuj</v>
      </c>
      <c r="M15" s="4" t="str">
        <f>IF(LYNN!M15="","",_xlfn.XLOOKUP(LYNN!M15,'LYNN ids'!$A$1:$A$20,'LYNN ids'!$B$1:$B$20,""))</f>
        <v>1WJLQaqCT-dbigvaPr0qwSqfWa2okmQuj</v>
      </c>
      <c r="N15" s="4" t="str">
        <f>IF(LYNN!N15="","",_xlfn.XLOOKUP(LYNN!N15,'LYNN ids'!$A$1:$A$20,'LYNN ids'!$B$1:$B$20,""))</f>
        <v>1WJLQaqCT-dbigvaPr0qwSqfWa2okmQuj</v>
      </c>
      <c r="O15" s="4" t="str">
        <f>IF(LYNN!O15="","",_xlfn.XLOOKUP(LYNN!O15,'LYNN ids'!$A$1:$A$20,'LYNN ids'!$B$1:$B$20,""))</f>
        <v>1WJLQaqCT-dbigvaPr0qwSqfWa2okmQuj</v>
      </c>
      <c r="P15" s="4" t="str">
        <f>IF(LYNN!P15="","",_xlfn.XLOOKUP(LYNN!P15,'LYNN ids'!$A$1:$A$20,'LYNN ids'!$B$1:$B$20,""))</f>
        <v>1hy21y43nwHZaLegDb93aDROu37Vp1JTn</v>
      </c>
      <c r="Q15" s="4" t="str">
        <f>IF(LYNN!Q15="","",_xlfn.XLOOKUP(LYNN!Q15,'LYNN ids'!$A$1:$A$20,'LYNN ids'!$B$1:$B$20,""))</f>
        <v>1WJLQaqCT-dbigvaPr0qwSqfWa2okmQuj</v>
      </c>
      <c r="R15" s="4" t="str">
        <f>IF(LYNN!R15="","",_xlfn.XLOOKUP(LYNN!R15,'LYNN ids'!$A$1:$A$20,'LYNN ids'!$B$1:$B$20,""))</f>
        <v>1WJLQaqCT-dbigvaPr0qwSqfWa2okmQuj</v>
      </c>
      <c r="S15" s="4" t="str">
        <f>IF(LYNN!S15="","",_xlfn.XLOOKUP(LYNN!S15,'LYNN ids'!$A$1:$A$20,'LYNN ids'!$B$1:$B$20,""))</f>
        <v>1WJLQaqCT-dbigvaPr0qwSqfWa2okmQuj</v>
      </c>
      <c r="T15" s="4" t="str">
        <f>IF(LYNN!T15="","",_xlfn.XLOOKUP(LYNN!T15,'LYNN ids'!$A$1:$A$20,'LYNN ids'!$B$1:$B$20,""))</f>
        <v>1fVOTDgQc_VukLst1Vj82KytYqi_ziha0</v>
      </c>
      <c r="U15" s="4" t="str">
        <f>IF(LYNN!U15="","",_xlfn.XLOOKUP(LYNN!U15,'LYNN ids'!$A$1:$A$20,'LYNN ids'!$B$1:$B$20,""))</f>
        <v>14uCOjuWxxahpyW0J5tCTsPM_LD3cvxyr</v>
      </c>
      <c r="V15" s="4" t="str">
        <f>IF(LYNN!V15="","",_xlfn.XLOOKUP(LYNN!V15,'LYNN ids'!$A$1:$A$20,'LYNN ids'!$B$1:$B$20,""))</f>
        <v>14uCOjuWxxahpyW0J5tCTsPM_LD3cvxyr</v>
      </c>
      <c r="W15" s="4" t="str">
        <f>IF(LYNN!W15="","",_xlfn.XLOOKUP(LYNN!W15,'LYNN ids'!$A$1:$A$20,'LYNN ids'!$B$1:$B$20,""))</f>
        <v>14uCOjuWxxahpyW0J5tCTsPM_LD3cvxyr</v>
      </c>
    </row>
    <row r="16" spans="1:23" x14ac:dyDescent="0.25">
      <c r="A16" s="3" t="s">
        <v>12</v>
      </c>
      <c r="B16" s="4" t="str">
        <f>IF(LYNN!B16="","",_xlfn.XLOOKUP(LYNN!B16,'LYNN ids'!$A$1:$A$20,'LYNN ids'!$B$1:$B$20,""))</f>
        <v>1hy21y43nwHZaLegDb93aDROu37Vp1JTn</v>
      </c>
      <c r="C16" s="4" t="str">
        <f>IF(LYNN!C16="","",_xlfn.XLOOKUP(LYNN!C16,'LYNN ids'!$A$1:$A$20,'LYNN ids'!$B$1:$B$20,""))</f>
        <v>1hy21y43nwHZaLegDb93aDROu37Vp1JTn</v>
      </c>
      <c r="D16" s="4" t="str">
        <f>IF(LYNN!D16="","",_xlfn.XLOOKUP(LYNN!D16,'LYNN ids'!$A$1:$A$20,'LYNN ids'!$B$1:$B$20,""))</f>
        <v>1hy21y43nwHZaLegDb93aDROu37Vp1JTn</v>
      </c>
      <c r="E16" s="4" t="str">
        <f>IF(LYNN!E16="","",_xlfn.XLOOKUP(LYNN!E16,'LYNN ids'!$A$1:$A$20,'LYNN ids'!$B$1:$B$20,""))</f>
        <v>1I_HVTZQRAf_MjuUMOLp5geQoy-HQGOs5</v>
      </c>
      <c r="F16" s="4" t="str">
        <f>IF(LYNN!F16="","",_xlfn.XLOOKUP(LYNN!F16,'LYNN ids'!$A$1:$A$20,'LYNN ids'!$B$1:$B$20,""))</f>
        <v>1hy21y43nwHZaLegDb93aDROu37Vp1JTn</v>
      </c>
      <c r="G16" s="4" t="str">
        <f>IF(LYNN!G16="","",_xlfn.XLOOKUP(LYNN!G16,'LYNN ids'!$A$1:$A$20,'LYNN ids'!$B$1:$B$20,""))</f>
        <v>1hy21y43nwHZaLegDb93aDROu37Vp1JTn</v>
      </c>
      <c r="H16" s="4" t="str">
        <f>IF(LYNN!H16="","",_xlfn.XLOOKUP(LYNN!H16,'LYNN ids'!$A$1:$A$20,'LYNN ids'!$B$1:$B$20,""))</f>
        <v>1hy21y43nwHZaLegDb93aDROu37Vp1JTn</v>
      </c>
      <c r="I16" s="4" t="str">
        <f>IF(LYNN!I16="","",_xlfn.XLOOKUP(LYNN!I16,'LYNN ids'!$A$1:$A$20,'LYNN ids'!$B$1:$B$20,""))</f>
        <v>1hy21y43nwHZaLegDb93aDROu37Vp1JTn</v>
      </c>
      <c r="J16" s="4" t="str">
        <f>IF(LYNN!J16="","",_xlfn.XLOOKUP(LYNN!J16,'LYNN ids'!$A$1:$A$20,'LYNN ids'!$B$1:$B$20,""))</f>
        <v>1hy21y43nwHZaLegDb93aDROu37Vp1JTn</v>
      </c>
      <c r="K16" s="4" t="str">
        <f>IF(LYNN!K16="","",_xlfn.XLOOKUP(LYNN!K16,'LYNN ids'!$A$1:$A$20,'LYNN ids'!$B$1:$B$20,""))</f>
        <v>1hy21y43nwHZaLegDb93aDROu37Vp1JTn</v>
      </c>
      <c r="L16" s="4" t="str">
        <f>IF(LYNN!L16="","",_xlfn.XLOOKUP(LYNN!L16,'LYNN ids'!$A$1:$A$20,'LYNN ids'!$B$1:$B$20,""))</f>
        <v>1h1RSiSTe8nrUgL9drpkfcOyaHLW0Vmr5</v>
      </c>
      <c r="M16" s="4" t="str">
        <f>IF(LYNN!M16="","",_xlfn.XLOOKUP(LYNN!M16,'LYNN ids'!$A$1:$A$20,'LYNN ids'!$B$1:$B$20,""))</f>
        <v>1hy21y43nwHZaLegDb93aDROu37Vp1JTn</v>
      </c>
      <c r="N16" s="4" t="str">
        <f>IF(LYNN!N16="","",_xlfn.XLOOKUP(LYNN!N16,'LYNN ids'!$A$1:$A$20,'LYNN ids'!$B$1:$B$20,""))</f>
        <v>1hy21y43nwHZaLegDb93aDROu37Vp1JTn</v>
      </c>
      <c r="O16" s="4" t="str">
        <f>IF(LYNN!O16="","",_xlfn.XLOOKUP(LYNN!O16,'LYNN ids'!$A$1:$A$20,'LYNN ids'!$B$1:$B$20,""))</f>
        <v>1hy21y43nwHZaLegDb93aDROu37Vp1JTn</v>
      </c>
      <c r="P16" s="4" t="str">
        <f>IF(LYNN!P16="","",_xlfn.XLOOKUP(LYNN!P16,'LYNN ids'!$A$1:$A$20,'LYNN ids'!$B$1:$B$20,""))</f>
        <v>1hy21y43nwHZaLegDb93aDROu37Vp1JTn</v>
      </c>
      <c r="Q16" s="4" t="str">
        <f>IF(LYNN!Q16="","",_xlfn.XLOOKUP(LYNN!Q16,'LYNN ids'!$A$1:$A$20,'LYNN ids'!$B$1:$B$20,""))</f>
        <v>1hy21y43nwHZaLegDb93aDROu37Vp1JTn</v>
      </c>
      <c r="R16" s="4" t="str">
        <f>IF(LYNN!R16="","",_xlfn.XLOOKUP(LYNN!R16,'LYNN ids'!$A$1:$A$20,'LYNN ids'!$B$1:$B$20,""))</f>
        <v>1WJLQaqCT-dbigvaPr0qwSqfWa2okmQuj</v>
      </c>
      <c r="S16" s="4" t="str">
        <f>IF(LYNN!S16="","",_xlfn.XLOOKUP(LYNN!S16,'LYNN ids'!$A$1:$A$20,'LYNN ids'!$B$1:$B$20,""))</f>
        <v>1eErACYiOk3jQ2x4SoXSaidAA-qkmTaCG</v>
      </c>
      <c r="T16" s="4" t="str">
        <f>IF(LYNN!T16="","",_xlfn.XLOOKUP(LYNN!T16,'LYNN ids'!$A$1:$A$20,'LYNN ids'!$B$1:$B$20,""))</f>
        <v>1fVOTDgQc_VukLst1Vj82KytYqi_ziha0</v>
      </c>
      <c r="U16" s="4" t="str">
        <f>IF(LYNN!U16="","",_xlfn.XLOOKUP(LYNN!U16,'LYNN ids'!$A$1:$A$20,'LYNN ids'!$B$1:$B$20,""))</f>
        <v>14uCOjuWxxahpyW0J5tCTsPM_LD3cvxyr</v>
      </c>
      <c r="V16" s="4" t="str">
        <f>IF(LYNN!V16="","",_xlfn.XLOOKUP(LYNN!V16,'LYNN ids'!$A$1:$A$20,'LYNN ids'!$B$1:$B$20,""))</f>
        <v>14uCOjuWxxahpyW0J5tCTsPM_LD3cvxyr</v>
      </c>
      <c r="W16" s="4" t="str">
        <f>IF(LYNN!W16="","",_xlfn.XLOOKUP(LYNN!W16,'LYNN ids'!$A$1:$A$20,'LYNN ids'!$B$1:$B$20,""))</f>
        <v>14uCOjuWxxahpyW0J5tCTsPM_LD3cvxyr</v>
      </c>
    </row>
    <row r="17" spans="1:23" x14ac:dyDescent="0.25">
      <c r="A17" s="3" t="s">
        <v>13</v>
      </c>
      <c r="B17" s="4" t="str">
        <f>IF(LYNN!B17="","",_xlfn.XLOOKUP(LYNN!B17,'LYNN ids'!$A$1:$A$20,'LYNN ids'!$B$1:$B$20,""))</f>
        <v>1pvum72Gav0Uo8l2Gv7XqWLHAcp7ebOav</v>
      </c>
      <c r="C17" s="4" t="str">
        <f>IF(LYNN!C17="","",_xlfn.XLOOKUP(LYNN!C17,'LYNN ids'!$A$1:$A$20,'LYNN ids'!$B$1:$B$20,""))</f>
        <v>1i6YgttRUxsS8eDzNreRHS1kLyFjc8Vbm</v>
      </c>
      <c r="D17" s="4" t="str">
        <f>IF(LYNN!D17="","",_xlfn.XLOOKUP(LYNN!D17,'LYNN ids'!$A$1:$A$20,'LYNN ids'!$B$1:$B$20,""))</f>
        <v>1_8XrgWpWpUec4gny3ZkWdj64jT2GJa9c</v>
      </c>
      <c r="E17" s="4" t="str">
        <f>IF(LYNN!E17="","",_xlfn.XLOOKUP(LYNN!E17,'LYNN ids'!$A$1:$A$20,'LYNN ids'!$B$1:$B$20,""))</f>
        <v>1I_HVTZQRAf_MjuUMOLp5geQoy-HQGOs5</v>
      </c>
      <c r="F17" s="4" t="str">
        <f>IF(LYNN!F17="","",_xlfn.XLOOKUP(LYNN!F17,'LYNN ids'!$A$1:$A$20,'LYNN ids'!$B$1:$B$20,""))</f>
        <v>14uCOjuWxxahpyW0J5tCTsPM_LD3cvxyr</v>
      </c>
      <c r="G17" s="4" t="str">
        <f>IF(LYNN!G17="","",_xlfn.XLOOKUP(LYNN!G17,'LYNN ids'!$A$1:$A$20,'LYNN ids'!$B$1:$B$20,""))</f>
        <v>1TlC1fMx-wUCxZY1xZiY0DEtoBfOgTShm</v>
      </c>
      <c r="H17" s="4" t="str">
        <f>IF(LYNN!H17="","",_xlfn.XLOOKUP(LYNN!H17,'LYNN ids'!$A$1:$A$20,'LYNN ids'!$B$1:$B$20,""))</f>
        <v>1Vcm6nyosh52PWrXYbZw0z1hhlfD5bNIo</v>
      </c>
      <c r="I17" s="4" t="str">
        <f>IF(LYNN!I17="","",_xlfn.XLOOKUP(LYNN!I17,'LYNN ids'!$A$1:$A$20,'LYNN ids'!$B$1:$B$20,""))</f>
        <v>1nuzqw-fwBX5MyYFA7SCpoxlQ8wv3TzCW</v>
      </c>
      <c r="J17" s="4" t="str">
        <f>IF(LYNN!J17="","",_xlfn.XLOOKUP(LYNN!J17,'LYNN ids'!$A$1:$A$20,'LYNN ids'!$B$1:$B$20,""))</f>
        <v>1nuzqw-fwBX5MyYFA7SCpoxlQ8wv3TzCW</v>
      </c>
      <c r="K17" s="4" t="str">
        <f>IF(LYNN!K17="","",_xlfn.XLOOKUP(LYNN!K17,'LYNN ids'!$A$1:$A$20,'LYNN ids'!$B$1:$B$20,""))</f>
        <v>1tp5aFpswfMYtgc_L4jUzXybzxgwJf2_t</v>
      </c>
      <c r="L17" s="4" t="str">
        <f>IF(LYNN!L17="","",_xlfn.XLOOKUP(LYNN!L17,'LYNN ids'!$A$1:$A$20,'LYNN ids'!$B$1:$B$20,""))</f>
        <v>1h1RSiSTe8nrUgL9drpkfcOyaHLW0Vmr5</v>
      </c>
      <c r="M17" s="4" t="str">
        <f>IF(LYNN!M17="","",_xlfn.XLOOKUP(LYNN!M17,'LYNN ids'!$A$1:$A$20,'LYNN ids'!$B$1:$B$20,""))</f>
        <v>1tp5aFpswfMYtgc_L4jUzXybzxgwJf2_t</v>
      </c>
      <c r="N17" s="4" t="str">
        <f>IF(LYNN!N17="","",_xlfn.XLOOKUP(LYNN!N17,'LYNN ids'!$A$1:$A$20,'LYNN ids'!$B$1:$B$20,""))</f>
        <v>1tp5aFpswfMYtgc_L4jUzXybzxgwJf2_t</v>
      </c>
      <c r="O17" s="4" t="str">
        <f>IF(LYNN!O17="","",_xlfn.XLOOKUP(LYNN!O17,'LYNN ids'!$A$1:$A$20,'LYNN ids'!$B$1:$B$20,""))</f>
        <v>1WJLQaqCT-dbigvaPr0qwSqfWa2okmQuj</v>
      </c>
      <c r="P17" s="4" t="str">
        <f>IF(LYNN!P17="","",_xlfn.XLOOKUP(LYNN!P17,'LYNN ids'!$A$1:$A$20,'LYNN ids'!$B$1:$B$20,""))</f>
        <v>1hy21y43nwHZaLegDb93aDROu37Vp1JTn</v>
      </c>
      <c r="Q17" s="4" t="str">
        <f>IF(LYNN!Q17="","",_xlfn.XLOOKUP(LYNN!Q17,'LYNN ids'!$A$1:$A$20,'LYNN ids'!$B$1:$B$20,""))</f>
        <v>1tp5aFpswfMYtgc_L4jUzXybzxgwJf2_t</v>
      </c>
      <c r="R17" s="4" t="str">
        <f>IF(LYNN!R17="","",_xlfn.XLOOKUP(LYNN!R17,'LYNN ids'!$A$1:$A$20,'LYNN ids'!$B$1:$B$20,""))</f>
        <v>1WJLQaqCT-dbigvaPr0qwSqfWa2okmQuj</v>
      </c>
      <c r="S17" s="4" t="str">
        <f>IF(LYNN!S17="","",_xlfn.XLOOKUP(LYNN!S17,'LYNN ids'!$A$1:$A$20,'LYNN ids'!$B$1:$B$20,""))</f>
        <v>1eErACYiOk3jQ2x4SoXSaidAA-qkmTaCG</v>
      </c>
      <c r="T17" s="4" t="str">
        <f>IF(LYNN!T17="","",_xlfn.XLOOKUP(LYNN!T17,'LYNN ids'!$A$1:$A$20,'LYNN ids'!$B$1:$B$20,""))</f>
        <v>1fVOTDgQc_VukLst1Vj82KytYqi_ziha0</v>
      </c>
      <c r="U17" s="4" t="str">
        <f>IF(LYNN!U17="","",_xlfn.XLOOKUP(LYNN!U17,'LYNN ids'!$A$1:$A$20,'LYNN ids'!$B$1:$B$20,""))</f>
        <v>14uCOjuWxxahpyW0J5tCTsPM_LD3cvxyr</v>
      </c>
      <c r="V17" s="4" t="str">
        <f>IF(LYNN!V17="","",_xlfn.XLOOKUP(LYNN!V17,'LYNN ids'!$A$1:$A$20,'LYNN ids'!$B$1:$B$20,""))</f>
        <v>14uCOjuWxxahpyW0J5tCTsPM_LD3cvxyr</v>
      </c>
      <c r="W17" s="4" t="str">
        <f>IF(LYNN!W17="","",_xlfn.XLOOKUP(LYNN!W17,'LYNN ids'!$A$1:$A$20,'LYNN ids'!$B$1:$B$20,""))</f>
        <v>14uCOjuWxxahpyW0J5tCTsPM_LD3cvxyr</v>
      </c>
    </row>
    <row r="18" spans="1:23" x14ac:dyDescent="0.25">
      <c r="A18" s="3" t="s">
        <v>31</v>
      </c>
      <c r="B18" s="4" t="str">
        <f>IF(LYNN!B18="","",_xlfn.XLOOKUP(LYNN!B18,'LYNN ids'!$A$1:$A$20,'LYNN ids'!$B$1:$B$20,""))</f>
        <v>1WJLQaqCT-dbigvaPr0qwSqfWa2okmQuj</v>
      </c>
      <c r="C18" s="4" t="str">
        <f>IF(LYNN!C18="","",_xlfn.XLOOKUP(LYNN!C18,'LYNN ids'!$A$1:$A$20,'LYNN ids'!$B$1:$B$20,""))</f>
        <v>1WJLQaqCT-dbigvaPr0qwSqfWa2okmQuj</v>
      </c>
      <c r="D18" s="4" t="str">
        <f>IF(LYNN!D18="","",_xlfn.XLOOKUP(LYNN!D18,'LYNN ids'!$A$1:$A$20,'LYNN ids'!$B$1:$B$20,""))</f>
        <v>1WJLQaqCT-dbigvaPr0qwSqfWa2okmQuj</v>
      </c>
      <c r="E18" s="4" t="str">
        <f>IF(LYNN!E18="","",_xlfn.XLOOKUP(LYNN!E18,'LYNN ids'!$A$1:$A$20,'LYNN ids'!$B$1:$B$20,""))</f>
        <v>1WJLQaqCT-dbigvaPr0qwSqfWa2okmQuj</v>
      </c>
      <c r="F18" s="4" t="str">
        <f>IF(LYNN!F18="","",_xlfn.XLOOKUP(LYNN!F18,'LYNN ids'!$A$1:$A$20,'LYNN ids'!$B$1:$B$20,""))</f>
        <v>1WJLQaqCT-dbigvaPr0qwSqfWa2okmQuj</v>
      </c>
      <c r="G18" s="4" t="str">
        <f>IF(LYNN!G18="","",_xlfn.XLOOKUP(LYNN!G18,'LYNN ids'!$A$1:$A$20,'LYNN ids'!$B$1:$B$20,""))</f>
        <v>1WJLQaqCT-dbigvaPr0qwSqfWa2okmQuj</v>
      </c>
      <c r="H18" s="4" t="str">
        <f>IF(LYNN!H18="","",_xlfn.XLOOKUP(LYNN!H18,'LYNN ids'!$A$1:$A$20,'LYNN ids'!$B$1:$B$20,""))</f>
        <v>1WJLQaqCT-dbigvaPr0qwSqfWa2okmQuj</v>
      </c>
      <c r="I18" s="4" t="str">
        <f>IF(LYNN!I18="","",_xlfn.XLOOKUP(LYNN!I18,'LYNN ids'!$A$1:$A$20,'LYNN ids'!$B$1:$B$20,""))</f>
        <v>1WJLQaqCT-dbigvaPr0qwSqfWa2okmQuj</v>
      </c>
      <c r="J18" s="4" t="str">
        <f>IF(LYNN!J18="","",_xlfn.XLOOKUP(LYNN!J18,'LYNN ids'!$A$1:$A$20,'LYNN ids'!$B$1:$B$20,""))</f>
        <v>1WJLQaqCT-dbigvaPr0qwSqfWa2okmQuj</v>
      </c>
      <c r="K18" s="4" t="str">
        <f>IF(LYNN!K18="","",_xlfn.XLOOKUP(LYNN!K18,'LYNN ids'!$A$1:$A$20,'LYNN ids'!$B$1:$B$20,""))</f>
        <v>1WJLQaqCT-dbigvaPr0qwSqfWa2okmQuj</v>
      </c>
      <c r="L18" s="4" t="str">
        <f>IF(LYNN!L18="","",_xlfn.XLOOKUP(LYNN!L18,'LYNN ids'!$A$1:$A$20,'LYNN ids'!$B$1:$B$20,""))</f>
        <v>1WJLQaqCT-dbigvaPr0qwSqfWa2okmQuj</v>
      </c>
      <c r="M18" s="4" t="str">
        <f>IF(LYNN!M18="","",_xlfn.XLOOKUP(LYNN!M18,'LYNN ids'!$A$1:$A$20,'LYNN ids'!$B$1:$B$20,""))</f>
        <v>1WJLQaqCT-dbigvaPr0qwSqfWa2okmQuj</v>
      </c>
      <c r="N18" s="4" t="str">
        <f>IF(LYNN!N18="","",_xlfn.XLOOKUP(LYNN!N18,'LYNN ids'!$A$1:$A$20,'LYNN ids'!$B$1:$B$20,""))</f>
        <v>1WJLQaqCT-dbigvaPr0qwSqfWa2okmQuj</v>
      </c>
      <c r="O18" s="4" t="str">
        <f>IF(LYNN!O18="","",_xlfn.XLOOKUP(LYNN!O18,'LYNN ids'!$A$1:$A$20,'LYNN ids'!$B$1:$B$20,""))</f>
        <v>1WJLQaqCT-dbigvaPr0qwSqfWa2okmQuj</v>
      </c>
      <c r="P18" s="4" t="str">
        <f>IF(LYNN!P18="","",_xlfn.XLOOKUP(LYNN!P18,'LYNN ids'!$A$1:$A$20,'LYNN ids'!$B$1:$B$20,""))</f>
        <v>1WJLQaqCT-dbigvaPr0qwSqfWa2okmQuj</v>
      </c>
      <c r="Q18" s="4" t="str">
        <f>IF(LYNN!Q18="","",_xlfn.XLOOKUP(LYNN!Q18,'LYNN ids'!$A$1:$A$20,'LYNN ids'!$B$1:$B$20,""))</f>
        <v>1WJLQaqCT-dbigvaPr0qwSqfWa2okmQuj</v>
      </c>
      <c r="R18" s="4" t="str">
        <f>IF(LYNN!R18="","",_xlfn.XLOOKUP(LYNN!R18,'LYNN ids'!$A$1:$A$20,'LYNN ids'!$B$1:$B$20,""))</f>
        <v>1WJLQaqCT-dbigvaPr0qwSqfWa2okmQuj</v>
      </c>
      <c r="S18" s="4" t="str">
        <f>IF(LYNN!S18="","",_xlfn.XLOOKUP(LYNN!S18,'LYNN ids'!$A$1:$A$20,'LYNN ids'!$B$1:$B$20,""))</f>
        <v>1WJLQaqCT-dbigvaPr0qwSqfWa2okmQuj</v>
      </c>
      <c r="T18" s="4" t="str">
        <f>IF(LYNN!T18="","",_xlfn.XLOOKUP(LYNN!T18,'LYNN ids'!$A$1:$A$20,'LYNN ids'!$B$1:$B$20,""))</f>
        <v>1WJLQaqCT-dbigvaPr0qwSqfWa2okmQuj</v>
      </c>
      <c r="U18" s="4" t="str">
        <f>IF(LYNN!U18="","",_xlfn.XLOOKUP(LYNN!U18,'LYNN ids'!$A$1:$A$20,'LYNN ids'!$B$1:$B$20,""))</f>
        <v>1WJLQaqCT-dbigvaPr0qwSqfWa2okmQuj</v>
      </c>
      <c r="V18" s="4" t="str">
        <f>IF(LYNN!V18="","",_xlfn.XLOOKUP(LYNN!V18,'LYNN ids'!$A$1:$A$20,'LYNN ids'!$B$1:$B$20,""))</f>
        <v>1WJLQaqCT-dbigvaPr0qwSqfWa2okmQuj</v>
      </c>
      <c r="W18" s="4" t="str">
        <f>IF(LYNN!W18="","",_xlfn.XLOOKUP(LYNN!W18,'LYNN ids'!$A$1:$A$20,'LYNN ids'!$B$1:$B$20,""))</f>
        <v>1WJLQaqCT-dbigvaPr0qwSqfWa2okmQuj</v>
      </c>
    </row>
    <row r="19" spans="1:23" x14ac:dyDescent="0.25">
      <c r="A19" s="3" t="s">
        <v>34</v>
      </c>
      <c r="B19" s="4" t="str">
        <f>IF(LYNN!B19="","",_xlfn.XLOOKUP(LYNN!B19,'LYNN ids'!$A$1:$A$20,'LYNN ids'!$B$1:$B$20,""))</f>
        <v>1eErACYiOk3jQ2x4SoXSaidAA-qkmTaCG</v>
      </c>
      <c r="C19" s="4" t="str">
        <f>IF(LYNN!C19="","",_xlfn.XLOOKUP(LYNN!C19,'LYNN ids'!$A$1:$A$20,'LYNN ids'!$B$1:$B$20,""))</f>
        <v>1eErACYiOk3jQ2x4SoXSaidAA-qkmTaCG</v>
      </c>
      <c r="D19" s="4" t="str">
        <f>IF(LYNN!D19="","",_xlfn.XLOOKUP(LYNN!D19,'LYNN ids'!$A$1:$A$20,'LYNN ids'!$B$1:$B$20,""))</f>
        <v>1eErACYiOk3jQ2x4SoXSaidAA-qkmTaCG</v>
      </c>
      <c r="E19" s="4" t="str">
        <f>IF(LYNN!E19="","",_xlfn.XLOOKUP(LYNN!E19,'LYNN ids'!$A$1:$A$20,'LYNN ids'!$B$1:$B$20,""))</f>
        <v>1I_HVTZQRAf_MjuUMOLp5geQoy-HQGOs5</v>
      </c>
      <c r="F19" s="4" t="str">
        <f>IF(LYNN!F19="","",_xlfn.XLOOKUP(LYNN!F19,'LYNN ids'!$A$1:$A$20,'LYNN ids'!$B$1:$B$20,""))</f>
        <v>1eErACYiOk3jQ2x4SoXSaidAA-qkmTaCG</v>
      </c>
      <c r="G19" s="4" t="str">
        <f>IF(LYNN!G19="","",_xlfn.XLOOKUP(LYNN!G19,'LYNN ids'!$A$1:$A$20,'LYNN ids'!$B$1:$B$20,""))</f>
        <v>1eErACYiOk3jQ2x4SoXSaidAA-qkmTaCG</v>
      </c>
      <c r="H19" s="4" t="str">
        <f>IF(LYNN!H19="","",_xlfn.XLOOKUP(LYNN!H19,'LYNN ids'!$A$1:$A$20,'LYNN ids'!$B$1:$B$20,""))</f>
        <v>1eErACYiOk3jQ2x4SoXSaidAA-qkmTaCG</v>
      </c>
      <c r="I19" s="4" t="str">
        <f>IF(LYNN!I19="","",_xlfn.XLOOKUP(LYNN!I19,'LYNN ids'!$A$1:$A$20,'LYNN ids'!$B$1:$B$20,""))</f>
        <v>1eErACYiOk3jQ2x4SoXSaidAA-qkmTaCG</v>
      </c>
      <c r="J19" s="4" t="str">
        <f>IF(LYNN!J19="","",_xlfn.XLOOKUP(LYNN!J19,'LYNN ids'!$A$1:$A$20,'LYNN ids'!$B$1:$B$20,""))</f>
        <v>1eErACYiOk3jQ2x4SoXSaidAA-qkmTaCG</v>
      </c>
      <c r="K19" s="4" t="str">
        <f>IF(LYNN!K19="","",_xlfn.XLOOKUP(LYNN!K19,'LYNN ids'!$A$1:$A$20,'LYNN ids'!$B$1:$B$20,""))</f>
        <v>1eErACYiOk3jQ2x4SoXSaidAA-qkmTaCG</v>
      </c>
      <c r="L19" s="4" t="str">
        <f>IF(LYNN!L19="","",_xlfn.XLOOKUP(LYNN!L19,'LYNN ids'!$A$1:$A$20,'LYNN ids'!$B$1:$B$20,""))</f>
        <v>1h1RSiSTe8nrUgL9drpkfcOyaHLW0Vmr5</v>
      </c>
      <c r="M19" s="4" t="str">
        <f>IF(LYNN!M19="","",_xlfn.XLOOKUP(LYNN!M19,'LYNN ids'!$A$1:$A$20,'LYNN ids'!$B$1:$B$20,""))</f>
        <v>1eErACYiOk3jQ2x4SoXSaidAA-qkmTaCG</v>
      </c>
      <c r="N19" s="4" t="str">
        <f>IF(LYNN!N19="","",_xlfn.XLOOKUP(LYNN!N19,'LYNN ids'!$A$1:$A$20,'LYNN ids'!$B$1:$B$20,""))</f>
        <v>1eErACYiOk3jQ2x4SoXSaidAA-qkmTaCG</v>
      </c>
      <c r="O19" s="4" t="str">
        <f>IF(LYNN!O19="","",_xlfn.XLOOKUP(LYNN!O19,'LYNN ids'!$A$1:$A$20,'LYNN ids'!$B$1:$B$20,""))</f>
        <v>1WJLQaqCT-dbigvaPr0qwSqfWa2okmQuj</v>
      </c>
      <c r="P19" s="4" t="str">
        <f>IF(LYNN!P19="","",_xlfn.XLOOKUP(LYNN!P19,'LYNN ids'!$A$1:$A$20,'LYNN ids'!$B$1:$B$20,""))</f>
        <v>1eErACYiOk3jQ2x4SoXSaidAA-qkmTaCG</v>
      </c>
      <c r="Q19" s="4" t="str">
        <f>IF(LYNN!Q19="","",_xlfn.XLOOKUP(LYNN!Q19,'LYNN ids'!$A$1:$A$20,'LYNN ids'!$B$1:$B$20,""))</f>
        <v>1eErACYiOk3jQ2x4SoXSaidAA-qkmTaCG</v>
      </c>
      <c r="R19" s="4" t="str">
        <f>IF(LYNN!R19="","",_xlfn.XLOOKUP(LYNN!R19,'LYNN ids'!$A$1:$A$20,'LYNN ids'!$B$1:$B$20,""))</f>
        <v>1WJLQaqCT-dbigvaPr0qwSqfWa2okmQuj</v>
      </c>
      <c r="S19" s="4" t="str">
        <f>IF(LYNN!S19="","",_xlfn.XLOOKUP(LYNN!S19,'LYNN ids'!$A$1:$A$20,'LYNN ids'!$B$1:$B$20,""))</f>
        <v>1eErACYiOk3jQ2x4SoXSaidAA-qkmTaCG</v>
      </c>
      <c r="T19" s="4" t="str">
        <f>IF(LYNN!T19="","",_xlfn.XLOOKUP(LYNN!T19,'LYNN ids'!$A$1:$A$20,'LYNN ids'!$B$1:$B$20,""))</f>
        <v>1fVOTDgQc_VukLst1Vj82KytYqi_ziha0</v>
      </c>
      <c r="U19" s="4" t="str">
        <f>IF(LYNN!U19="","",_xlfn.XLOOKUP(LYNN!U19,'LYNN ids'!$A$1:$A$20,'LYNN ids'!$B$1:$B$20,""))</f>
        <v>1eErACYiOk3jQ2x4SoXSaidAA-qkmTaCG</v>
      </c>
      <c r="V19" s="4" t="str">
        <f>IF(LYNN!V19="","",_xlfn.XLOOKUP(LYNN!V19,'LYNN ids'!$A$1:$A$20,'LYNN ids'!$B$1:$B$20,""))</f>
        <v>1eErACYiOk3jQ2x4SoXSaidAA-qkmTaCG</v>
      </c>
      <c r="W19" s="4" t="str">
        <f>IF(LYNN!W19="","",_xlfn.XLOOKUP(LYNN!W19,'LYNN ids'!$A$1:$A$20,'LYNN ids'!$B$1:$B$20,""))</f>
        <v>1eErACYiOk3jQ2x4SoXSaidAA-qkmTaCG</v>
      </c>
    </row>
    <row r="20" spans="1:23" x14ac:dyDescent="0.25">
      <c r="A20" s="3" t="s">
        <v>36</v>
      </c>
      <c r="B20" s="4" t="str">
        <f>IF(LYNN!B20="","",_xlfn.XLOOKUP(LYNN!B20,'LYNN ids'!$A$1:$A$20,'LYNN ids'!$B$1:$B$20,""))</f>
        <v>1fVOTDgQc_VukLst1Vj82KytYqi_ziha0</v>
      </c>
      <c r="C20" s="4" t="str">
        <f>IF(LYNN!C20="","",_xlfn.XLOOKUP(LYNN!C20,'LYNN ids'!$A$1:$A$20,'LYNN ids'!$B$1:$B$20,""))</f>
        <v>1fVOTDgQc_VukLst1Vj82KytYqi_ziha0</v>
      </c>
      <c r="D20" s="4" t="str">
        <f>IF(LYNN!D20="","",_xlfn.XLOOKUP(LYNN!D20,'LYNN ids'!$A$1:$A$20,'LYNN ids'!$B$1:$B$20,""))</f>
        <v>1fVOTDgQc_VukLst1Vj82KytYqi_ziha0</v>
      </c>
      <c r="E20" s="4" t="str">
        <f>IF(LYNN!E20="","",_xlfn.XLOOKUP(LYNN!E20,'LYNN ids'!$A$1:$A$20,'LYNN ids'!$B$1:$B$20,""))</f>
        <v>1I_HVTZQRAf_MjuUMOLp5geQoy-HQGOs5</v>
      </c>
      <c r="F20" s="4" t="str">
        <f>IF(LYNN!F20="","",_xlfn.XLOOKUP(LYNN!F20,'LYNN ids'!$A$1:$A$20,'LYNN ids'!$B$1:$B$20,""))</f>
        <v>1fVOTDgQc_VukLst1Vj82KytYqi_ziha0</v>
      </c>
      <c r="G20" s="4" t="str">
        <f>IF(LYNN!G20="","",_xlfn.XLOOKUP(LYNN!G20,'LYNN ids'!$A$1:$A$20,'LYNN ids'!$B$1:$B$20,""))</f>
        <v>1fVOTDgQc_VukLst1Vj82KytYqi_ziha0</v>
      </c>
      <c r="H20" s="4" t="str">
        <f>IF(LYNN!H20="","",_xlfn.XLOOKUP(LYNN!H20,'LYNN ids'!$A$1:$A$20,'LYNN ids'!$B$1:$B$20,""))</f>
        <v>1fVOTDgQc_VukLst1Vj82KytYqi_ziha0</v>
      </c>
      <c r="I20" s="4" t="str">
        <f>IF(LYNN!I20="","",_xlfn.XLOOKUP(LYNN!I20,'LYNN ids'!$A$1:$A$20,'LYNN ids'!$B$1:$B$20,""))</f>
        <v>1fVOTDgQc_VukLst1Vj82KytYqi_ziha0</v>
      </c>
      <c r="J20" s="4" t="str">
        <f>IF(LYNN!J20="","",_xlfn.XLOOKUP(LYNN!J20,'LYNN ids'!$A$1:$A$20,'LYNN ids'!$B$1:$B$20,""))</f>
        <v>1fVOTDgQc_VukLst1Vj82KytYqi_ziha0</v>
      </c>
      <c r="K20" s="4" t="str">
        <f>IF(LYNN!K20="","",_xlfn.XLOOKUP(LYNN!K20,'LYNN ids'!$A$1:$A$20,'LYNN ids'!$B$1:$B$20,""))</f>
        <v>1fVOTDgQc_VukLst1Vj82KytYqi_ziha0</v>
      </c>
      <c r="L20" s="4" t="str">
        <f>IF(LYNN!L20="","",_xlfn.XLOOKUP(LYNN!L20,'LYNN ids'!$A$1:$A$20,'LYNN ids'!$B$1:$B$20,""))</f>
        <v>1fVOTDgQc_VukLst1Vj82KytYqi_ziha0</v>
      </c>
      <c r="M20" s="4" t="str">
        <f>IF(LYNN!M20="","",_xlfn.XLOOKUP(LYNN!M20,'LYNN ids'!$A$1:$A$20,'LYNN ids'!$B$1:$B$20,""))</f>
        <v>1fVOTDgQc_VukLst1Vj82KytYqi_ziha0</v>
      </c>
      <c r="N20" s="4" t="str">
        <f>IF(LYNN!N20="","",_xlfn.XLOOKUP(LYNN!N20,'LYNN ids'!$A$1:$A$20,'LYNN ids'!$B$1:$B$20,""))</f>
        <v>1fVOTDgQc_VukLst1Vj82KytYqi_ziha0</v>
      </c>
      <c r="O20" s="4" t="str">
        <f>IF(LYNN!O20="","",_xlfn.XLOOKUP(LYNN!O20,'LYNN ids'!$A$1:$A$20,'LYNN ids'!$B$1:$B$20,""))</f>
        <v>1fVOTDgQc_VukLst1Vj82KytYqi_ziha0</v>
      </c>
      <c r="P20" s="4" t="str">
        <f>IF(LYNN!P20="","",_xlfn.XLOOKUP(LYNN!P20,'LYNN ids'!$A$1:$A$20,'LYNN ids'!$B$1:$B$20,""))</f>
        <v>1fVOTDgQc_VukLst1Vj82KytYqi_ziha0</v>
      </c>
      <c r="Q20" s="4" t="str">
        <f>IF(LYNN!Q20="","",_xlfn.XLOOKUP(LYNN!Q20,'LYNN ids'!$A$1:$A$20,'LYNN ids'!$B$1:$B$20,""))</f>
        <v>1fVOTDgQc_VukLst1Vj82KytYqi_ziha0</v>
      </c>
      <c r="R20" s="4" t="str">
        <f>IF(LYNN!R20="","",_xlfn.XLOOKUP(LYNN!R20,'LYNN ids'!$A$1:$A$20,'LYNN ids'!$B$1:$B$20,""))</f>
        <v>1WJLQaqCT-dbigvaPr0qwSqfWa2okmQuj</v>
      </c>
      <c r="S20" s="4" t="str">
        <f>IF(LYNN!S20="","",_xlfn.XLOOKUP(LYNN!S20,'LYNN ids'!$A$1:$A$20,'LYNN ids'!$B$1:$B$20,""))</f>
        <v>1fVOTDgQc_VukLst1Vj82KytYqi_ziha0</v>
      </c>
      <c r="T20" s="4" t="str">
        <f>IF(LYNN!T20="","",_xlfn.XLOOKUP(LYNN!T20,'LYNN ids'!$A$1:$A$20,'LYNN ids'!$B$1:$B$20,""))</f>
        <v>1fVOTDgQc_VukLst1Vj82KytYqi_ziha0</v>
      </c>
      <c r="U20" s="4" t="str">
        <f>IF(LYNN!U20="","",_xlfn.XLOOKUP(LYNN!U20,'LYNN ids'!$A$1:$A$20,'LYNN ids'!$B$1:$B$20,""))</f>
        <v>1fVOTDgQc_VukLst1Vj82KytYqi_ziha0</v>
      </c>
      <c r="V20" s="4" t="str">
        <f>IF(LYNN!V20="","",_xlfn.XLOOKUP(LYNN!V20,'LYNN ids'!$A$1:$A$20,'LYNN ids'!$B$1:$B$20,""))</f>
        <v>1fVOTDgQc_VukLst1Vj82KytYqi_ziha0</v>
      </c>
      <c r="W20" s="4" t="str">
        <f>IF(LYNN!W20="","",_xlfn.XLOOKUP(LYNN!W20,'LYNN ids'!$A$1:$A$20,'LYNN ids'!$B$1:$B$20,""))</f>
        <v>1fVOTDgQc_VukLst1Vj82KytYqi_ziha0</v>
      </c>
    </row>
    <row r="21" spans="1:23" x14ac:dyDescent="0.25">
      <c r="A21" s="3" t="s">
        <v>40</v>
      </c>
      <c r="B21" s="4" t="str">
        <f>IF(LYNN!B21="","",_xlfn.XLOOKUP(LYNN!B21,'LYNN ids'!$A$1:$A$20,'LYNN ids'!$B$1:$B$20,""))</f>
        <v>14uCOjuWxxahpyW0J5tCTsPM_LD3cvxyr</v>
      </c>
      <c r="C21" s="4" t="str">
        <f>IF(LYNN!C21="","",_xlfn.XLOOKUP(LYNN!C21,'LYNN ids'!$A$1:$A$20,'LYNN ids'!$B$1:$B$20,""))</f>
        <v>14uCOjuWxxahpyW0J5tCTsPM_LD3cvxyr</v>
      </c>
      <c r="D21" s="4" t="str">
        <f>IF(LYNN!D21="","",_xlfn.XLOOKUP(LYNN!D21,'LYNN ids'!$A$1:$A$20,'LYNN ids'!$B$1:$B$20,""))</f>
        <v>14uCOjuWxxahpyW0J5tCTsPM_LD3cvxyr</v>
      </c>
      <c r="E21" s="4" t="str">
        <f>IF(LYNN!E21="","",_xlfn.XLOOKUP(LYNN!E21,'LYNN ids'!$A$1:$A$20,'LYNN ids'!$B$1:$B$20,""))</f>
        <v>1I_HVTZQRAf_MjuUMOLp5geQoy-HQGOs5</v>
      </c>
      <c r="F21" s="4" t="str">
        <f>IF(LYNN!F21="","",_xlfn.XLOOKUP(LYNN!F21,'LYNN ids'!$A$1:$A$20,'LYNN ids'!$B$1:$B$20,""))</f>
        <v>14uCOjuWxxahpyW0J5tCTsPM_LD3cvxyr</v>
      </c>
      <c r="G21" s="4" t="str">
        <f>IF(LYNN!G21="","",_xlfn.XLOOKUP(LYNN!G21,'LYNN ids'!$A$1:$A$20,'LYNN ids'!$B$1:$B$20,""))</f>
        <v>14uCOjuWxxahpyW0J5tCTsPM_LD3cvxyr</v>
      </c>
      <c r="H21" s="4" t="str">
        <f>IF(LYNN!H21="","",_xlfn.XLOOKUP(LYNN!H21,'LYNN ids'!$A$1:$A$20,'LYNN ids'!$B$1:$B$20,""))</f>
        <v>14uCOjuWxxahpyW0J5tCTsPM_LD3cvxyr</v>
      </c>
      <c r="I21" s="4" t="str">
        <f>IF(LYNN!I21="","",_xlfn.XLOOKUP(LYNN!I21,'LYNN ids'!$A$1:$A$20,'LYNN ids'!$B$1:$B$20,""))</f>
        <v>14uCOjuWxxahpyW0J5tCTsPM_LD3cvxyr</v>
      </c>
      <c r="J21" s="4" t="str">
        <f>IF(LYNN!J21="","",_xlfn.XLOOKUP(LYNN!J21,'LYNN ids'!$A$1:$A$20,'LYNN ids'!$B$1:$B$20,""))</f>
        <v>14uCOjuWxxahpyW0J5tCTsPM_LD3cvxyr</v>
      </c>
      <c r="K21" s="4" t="str">
        <f>IF(LYNN!K21="","",_xlfn.XLOOKUP(LYNN!K21,'LYNN ids'!$A$1:$A$20,'LYNN ids'!$B$1:$B$20,""))</f>
        <v>14uCOjuWxxahpyW0J5tCTsPM_LD3cvxyr</v>
      </c>
      <c r="L21" s="4" t="str">
        <f>IF(LYNN!L21="","",_xlfn.XLOOKUP(LYNN!L21,'LYNN ids'!$A$1:$A$20,'LYNN ids'!$B$1:$B$20,""))</f>
        <v>1h1RSiSTe8nrUgL9drpkfcOyaHLW0Vmr5</v>
      </c>
      <c r="M21" s="4" t="str">
        <f>IF(LYNN!M21="","",_xlfn.XLOOKUP(LYNN!M21,'LYNN ids'!$A$1:$A$20,'LYNN ids'!$B$1:$B$20,""))</f>
        <v>14uCOjuWxxahpyW0J5tCTsPM_LD3cvxyr</v>
      </c>
      <c r="N21" s="4" t="str">
        <f>IF(LYNN!N21="","",_xlfn.XLOOKUP(LYNN!N21,'LYNN ids'!$A$1:$A$20,'LYNN ids'!$B$1:$B$20,""))</f>
        <v>14uCOjuWxxahpyW0J5tCTsPM_LD3cvxyr</v>
      </c>
      <c r="O21" s="4" t="str">
        <f>IF(LYNN!O21="","",_xlfn.XLOOKUP(LYNN!O21,'LYNN ids'!$A$1:$A$20,'LYNN ids'!$B$1:$B$20,""))</f>
        <v>14uCOjuWxxahpyW0J5tCTsPM_LD3cvxyr</v>
      </c>
      <c r="P21" s="4" t="str">
        <f>IF(LYNN!P21="","",_xlfn.XLOOKUP(LYNN!P21,'LYNN ids'!$A$1:$A$20,'LYNN ids'!$B$1:$B$20,""))</f>
        <v>14uCOjuWxxahpyW0J5tCTsPM_LD3cvxyr</v>
      </c>
      <c r="Q21" s="4" t="str">
        <f>IF(LYNN!Q21="","",_xlfn.XLOOKUP(LYNN!Q21,'LYNN ids'!$A$1:$A$20,'LYNN ids'!$B$1:$B$20,""))</f>
        <v>14uCOjuWxxahpyW0J5tCTsPM_LD3cvxyr</v>
      </c>
      <c r="R21" s="4" t="str">
        <f>IF(LYNN!R21="","",_xlfn.XLOOKUP(LYNN!R21,'LYNN ids'!$A$1:$A$20,'LYNN ids'!$B$1:$B$20,""))</f>
        <v>1WJLQaqCT-dbigvaPr0qwSqfWa2okmQuj</v>
      </c>
      <c r="S21" s="4" t="str">
        <f>IF(LYNN!S21="","",_xlfn.XLOOKUP(LYNN!S21,'LYNN ids'!$A$1:$A$20,'LYNN ids'!$B$1:$B$20,""))</f>
        <v>1eErACYiOk3jQ2x4SoXSaidAA-qkmTaCG</v>
      </c>
      <c r="T21" s="4" t="str">
        <f>IF(LYNN!T21="","",_xlfn.XLOOKUP(LYNN!T21,'LYNN ids'!$A$1:$A$20,'LYNN ids'!$B$1:$B$20,""))</f>
        <v>1fVOTDgQc_VukLst1Vj82KytYqi_ziha0</v>
      </c>
      <c r="U21" s="4" t="str">
        <f>IF(LYNN!U21="","",_xlfn.XLOOKUP(LYNN!U21,'LYNN ids'!$A$1:$A$20,'LYNN ids'!$B$1:$B$20,""))</f>
        <v>14uCOjuWxxahpyW0J5tCTsPM_LD3cvxyr</v>
      </c>
      <c r="V21" s="4" t="str">
        <f>IF(LYNN!V21="","",_xlfn.XLOOKUP(LYNN!V21,'LYNN ids'!$A$1:$A$20,'LYNN ids'!$B$1:$B$20,""))</f>
        <v>14uCOjuWxxahpyW0J5tCTsPM_LD3cvxyr</v>
      </c>
      <c r="W21" s="4" t="str">
        <f>IF(LYNN!W21="","",_xlfn.XLOOKUP(LYNN!W21,'LYNN ids'!$A$1:$A$20,'LYNN ids'!$B$1:$B$20,""))</f>
        <v>14uCOjuWxxahpyW0J5tCTsPM_LD3cvxyr</v>
      </c>
    </row>
    <row r="22" spans="1:23" x14ac:dyDescent="0.25">
      <c r="A22" s="3" t="s">
        <v>41</v>
      </c>
      <c r="B22" s="4" t="str">
        <f>IF(LYNN!B22="","",_xlfn.XLOOKUP(LYNN!B22,'LYNN ids'!$A$1:$A$20,'LYNN ids'!$B$1:$B$20,""))</f>
        <v>14uCOjuWxxahpyW0J5tCTsPM_LD3cvxyr</v>
      </c>
      <c r="C22" s="4" t="str">
        <f>IF(LYNN!C22="","",_xlfn.XLOOKUP(LYNN!C22,'LYNN ids'!$A$1:$A$20,'LYNN ids'!$B$1:$B$20,""))</f>
        <v>14uCOjuWxxahpyW0J5tCTsPM_LD3cvxyr</v>
      </c>
      <c r="D22" s="4" t="str">
        <f>IF(LYNN!D22="","",_xlfn.XLOOKUP(LYNN!D22,'LYNN ids'!$A$1:$A$20,'LYNN ids'!$B$1:$B$20,""))</f>
        <v>14uCOjuWxxahpyW0J5tCTsPM_LD3cvxyr</v>
      </c>
      <c r="E22" s="4" t="str">
        <f>IF(LYNN!E22="","",_xlfn.XLOOKUP(LYNN!E22,'LYNN ids'!$A$1:$A$20,'LYNN ids'!$B$1:$B$20,""))</f>
        <v>1I_HVTZQRAf_MjuUMOLp5geQoy-HQGOs5</v>
      </c>
      <c r="F22" s="4" t="str">
        <f>IF(LYNN!F22="","",_xlfn.XLOOKUP(LYNN!F22,'LYNN ids'!$A$1:$A$20,'LYNN ids'!$B$1:$B$20,""))</f>
        <v>14uCOjuWxxahpyW0J5tCTsPM_LD3cvxyr</v>
      </c>
      <c r="G22" s="4" t="str">
        <f>IF(LYNN!G22="","",_xlfn.XLOOKUP(LYNN!G22,'LYNN ids'!$A$1:$A$20,'LYNN ids'!$B$1:$B$20,""))</f>
        <v>14uCOjuWxxahpyW0J5tCTsPM_LD3cvxyr</v>
      </c>
      <c r="H22" s="4" t="str">
        <f>IF(LYNN!H22="","",_xlfn.XLOOKUP(LYNN!H22,'LYNN ids'!$A$1:$A$20,'LYNN ids'!$B$1:$B$20,""))</f>
        <v>14uCOjuWxxahpyW0J5tCTsPM_LD3cvxyr</v>
      </c>
      <c r="I22" s="4" t="str">
        <f>IF(LYNN!I22="","",_xlfn.XLOOKUP(LYNN!I22,'LYNN ids'!$A$1:$A$20,'LYNN ids'!$B$1:$B$20,""))</f>
        <v>14uCOjuWxxahpyW0J5tCTsPM_LD3cvxyr</v>
      </c>
      <c r="J22" s="4" t="str">
        <f>IF(LYNN!J22="","",_xlfn.XLOOKUP(LYNN!J22,'LYNN ids'!$A$1:$A$20,'LYNN ids'!$B$1:$B$20,""))</f>
        <v>14uCOjuWxxahpyW0J5tCTsPM_LD3cvxyr</v>
      </c>
      <c r="K22" s="4" t="str">
        <f>IF(LYNN!K22="","",_xlfn.XLOOKUP(LYNN!K22,'LYNN ids'!$A$1:$A$20,'LYNN ids'!$B$1:$B$20,""))</f>
        <v>14uCOjuWxxahpyW0J5tCTsPM_LD3cvxyr</v>
      </c>
      <c r="L22" s="4" t="str">
        <f>IF(LYNN!L22="","",_xlfn.XLOOKUP(LYNN!L22,'LYNN ids'!$A$1:$A$20,'LYNN ids'!$B$1:$B$20,""))</f>
        <v>1h1RSiSTe8nrUgL9drpkfcOyaHLW0Vmr5</v>
      </c>
      <c r="M22" s="4" t="str">
        <f>IF(LYNN!M22="","",_xlfn.XLOOKUP(LYNN!M22,'LYNN ids'!$A$1:$A$20,'LYNN ids'!$B$1:$B$20,""))</f>
        <v>14uCOjuWxxahpyW0J5tCTsPM_LD3cvxyr</v>
      </c>
      <c r="N22" s="4" t="str">
        <f>IF(LYNN!N22="","",_xlfn.XLOOKUP(LYNN!N22,'LYNN ids'!$A$1:$A$20,'LYNN ids'!$B$1:$B$20,""))</f>
        <v>14uCOjuWxxahpyW0J5tCTsPM_LD3cvxyr</v>
      </c>
      <c r="O22" s="4" t="str">
        <f>IF(LYNN!O22="","",_xlfn.XLOOKUP(LYNN!O22,'LYNN ids'!$A$1:$A$20,'LYNN ids'!$B$1:$B$20,""))</f>
        <v>14uCOjuWxxahpyW0J5tCTsPM_LD3cvxyr</v>
      </c>
      <c r="P22" s="4" t="str">
        <f>IF(LYNN!P22="","",_xlfn.XLOOKUP(LYNN!P22,'LYNN ids'!$A$1:$A$20,'LYNN ids'!$B$1:$B$20,""))</f>
        <v>14uCOjuWxxahpyW0J5tCTsPM_LD3cvxyr</v>
      </c>
      <c r="Q22" s="4" t="str">
        <f>IF(LYNN!Q22="","",_xlfn.XLOOKUP(LYNN!Q22,'LYNN ids'!$A$1:$A$20,'LYNN ids'!$B$1:$B$20,""))</f>
        <v>14uCOjuWxxahpyW0J5tCTsPM_LD3cvxyr</v>
      </c>
      <c r="R22" s="4" t="str">
        <f>IF(LYNN!R22="","",_xlfn.XLOOKUP(LYNN!R22,'LYNN ids'!$A$1:$A$20,'LYNN ids'!$B$1:$B$20,""))</f>
        <v>1WJLQaqCT-dbigvaPr0qwSqfWa2okmQuj</v>
      </c>
      <c r="S22" s="4" t="str">
        <f>IF(LYNN!S22="","",_xlfn.XLOOKUP(LYNN!S22,'LYNN ids'!$A$1:$A$20,'LYNN ids'!$B$1:$B$20,""))</f>
        <v>1eErACYiOk3jQ2x4SoXSaidAA-qkmTaCG</v>
      </c>
      <c r="T22" s="4" t="str">
        <f>IF(LYNN!T22="","",_xlfn.XLOOKUP(LYNN!T22,'LYNN ids'!$A$1:$A$20,'LYNN ids'!$B$1:$B$20,""))</f>
        <v>1fVOTDgQc_VukLst1Vj82KytYqi_ziha0</v>
      </c>
      <c r="U22" s="4" t="str">
        <f>IF(LYNN!U22="","",_xlfn.XLOOKUP(LYNN!U22,'LYNN ids'!$A$1:$A$20,'LYNN ids'!$B$1:$B$20,""))</f>
        <v>14uCOjuWxxahpyW0J5tCTsPM_LD3cvxyr</v>
      </c>
      <c r="V22" s="4" t="str">
        <f>IF(LYNN!V22="","",_xlfn.XLOOKUP(LYNN!V22,'LYNN ids'!$A$1:$A$20,'LYNN ids'!$B$1:$B$20,""))</f>
        <v>14uCOjuWxxahpyW0J5tCTsPM_LD3cvxyr</v>
      </c>
      <c r="W22" s="4" t="str">
        <f>IF(LYNN!W22="","",_xlfn.XLOOKUP(LYNN!W22,'LYNN ids'!$A$1:$A$20,'LYNN ids'!$B$1:$B$20,""))</f>
        <v>14uCOjuWxxahpyW0J5tCTsPM_LD3cvxyr</v>
      </c>
    </row>
    <row r="23" spans="1:23" x14ac:dyDescent="0.25">
      <c r="A23" s="3" t="s">
        <v>39</v>
      </c>
      <c r="B23" s="4" t="str">
        <f>IF(LYNN!B23="","",_xlfn.XLOOKUP(LYNN!B23,'LYNN ids'!$A$1:$A$20,'LYNN ids'!$B$1:$B$20,""))</f>
        <v>14uCOjuWxxahpyW0J5tCTsPM_LD3cvxyr</v>
      </c>
      <c r="C23" s="4" t="str">
        <f>IF(LYNN!C23="","",_xlfn.XLOOKUP(LYNN!C23,'LYNN ids'!$A$1:$A$20,'LYNN ids'!$B$1:$B$20,""))</f>
        <v>14uCOjuWxxahpyW0J5tCTsPM_LD3cvxyr</v>
      </c>
      <c r="D23" s="4" t="str">
        <f>IF(LYNN!D23="","",_xlfn.XLOOKUP(LYNN!D23,'LYNN ids'!$A$1:$A$20,'LYNN ids'!$B$1:$B$20,""))</f>
        <v>14uCOjuWxxahpyW0J5tCTsPM_LD3cvxyr</v>
      </c>
      <c r="E23" s="4" t="str">
        <f>IF(LYNN!E23="","",_xlfn.XLOOKUP(LYNN!E23,'LYNN ids'!$A$1:$A$20,'LYNN ids'!$B$1:$B$20,""))</f>
        <v>1I_HVTZQRAf_MjuUMOLp5geQoy-HQGOs5</v>
      </c>
      <c r="F23" s="4" t="str">
        <f>IF(LYNN!F23="","",_xlfn.XLOOKUP(LYNN!F23,'LYNN ids'!$A$1:$A$20,'LYNN ids'!$B$1:$B$20,""))</f>
        <v>14uCOjuWxxahpyW0J5tCTsPM_LD3cvxyr</v>
      </c>
      <c r="G23" s="4" t="str">
        <f>IF(LYNN!G23="","",_xlfn.XLOOKUP(LYNN!G23,'LYNN ids'!$A$1:$A$20,'LYNN ids'!$B$1:$B$20,""))</f>
        <v>14uCOjuWxxahpyW0J5tCTsPM_LD3cvxyr</v>
      </c>
      <c r="H23" s="4" t="str">
        <f>IF(LYNN!H23="","",_xlfn.XLOOKUP(LYNN!H23,'LYNN ids'!$A$1:$A$20,'LYNN ids'!$B$1:$B$20,""))</f>
        <v>14uCOjuWxxahpyW0J5tCTsPM_LD3cvxyr</v>
      </c>
      <c r="I23" s="4" t="str">
        <f>IF(LYNN!I23="","",_xlfn.XLOOKUP(LYNN!I23,'LYNN ids'!$A$1:$A$20,'LYNN ids'!$B$1:$B$20,""))</f>
        <v>14uCOjuWxxahpyW0J5tCTsPM_LD3cvxyr</v>
      </c>
      <c r="J23" s="4" t="str">
        <f>IF(LYNN!J23="","",_xlfn.XLOOKUP(LYNN!J23,'LYNN ids'!$A$1:$A$20,'LYNN ids'!$B$1:$B$20,""))</f>
        <v>14uCOjuWxxahpyW0J5tCTsPM_LD3cvxyr</v>
      </c>
      <c r="K23" s="4" t="str">
        <f>IF(LYNN!K23="","",_xlfn.XLOOKUP(LYNN!K23,'LYNN ids'!$A$1:$A$20,'LYNN ids'!$B$1:$B$20,""))</f>
        <v>14uCOjuWxxahpyW0J5tCTsPM_LD3cvxyr</v>
      </c>
      <c r="L23" s="4" t="str">
        <f>IF(LYNN!L23="","",_xlfn.XLOOKUP(LYNN!L23,'LYNN ids'!$A$1:$A$20,'LYNN ids'!$B$1:$B$20,""))</f>
        <v>1h1RSiSTe8nrUgL9drpkfcOyaHLW0Vmr5</v>
      </c>
      <c r="M23" s="4" t="str">
        <f>IF(LYNN!M23="","",_xlfn.XLOOKUP(LYNN!M23,'LYNN ids'!$A$1:$A$20,'LYNN ids'!$B$1:$B$20,""))</f>
        <v>14uCOjuWxxahpyW0J5tCTsPM_LD3cvxyr</v>
      </c>
      <c r="N23" s="4" t="str">
        <f>IF(LYNN!N23="","",_xlfn.XLOOKUP(LYNN!N23,'LYNN ids'!$A$1:$A$20,'LYNN ids'!$B$1:$B$20,""))</f>
        <v>14uCOjuWxxahpyW0J5tCTsPM_LD3cvxyr</v>
      </c>
      <c r="O23" s="4" t="str">
        <f>IF(LYNN!O23="","",_xlfn.XLOOKUP(LYNN!O23,'LYNN ids'!$A$1:$A$20,'LYNN ids'!$B$1:$B$20,""))</f>
        <v>14uCOjuWxxahpyW0J5tCTsPM_LD3cvxyr</v>
      </c>
      <c r="P23" s="4" t="str">
        <f>IF(LYNN!P23="","",_xlfn.XLOOKUP(LYNN!P23,'LYNN ids'!$A$1:$A$20,'LYNN ids'!$B$1:$B$20,""))</f>
        <v>14uCOjuWxxahpyW0J5tCTsPM_LD3cvxyr</v>
      </c>
      <c r="Q23" s="4" t="str">
        <f>IF(LYNN!Q23="","",_xlfn.XLOOKUP(LYNN!Q23,'LYNN ids'!$A$1:$A$20,'LYNN ids'!$B$1:$B$20,""))</f>
        <v>14uCOjuWxxahpyW0J5tCTsPM_LD3cvxyr</v>
      </c>
      <c r="R23" s="4" t="str">
        <f>IF(LYNN!R23="","",_xlfn.XLOOKUP(LYNN!R23,'LYNN ids'!$A$1:$A$20,'LYNN ids'!$B$1:$B$20,""))</f>
        <v>1WJLQaqCT-dbigvaPr0qwSqfWa2okmQuj</v>
      </c>
      <c r="S23" s="4" t="str">
        <f>IF(LYNN!S23="","",_xlfn.XLOOKUP(LYNN!S23,'LYNN ids'!$A$1:$A$20,'LYNN ids'!$B$1:$B$20,""))</f>
        <v>1eErACYiOk3jQ2x4SoXSaidAA-qkmTaCG</v>
      </c>
      <c r="T23" s="4" t="str">
        <f>IF(LYNN!T23="","",_xlfn.XLOOKUP(LYNN!T23,'LYNN ids'!$A$1:$A$20,'LYNN ids'!$B$1:$B$20,""))</f>
        <v>1fVOTDgQc_VukLst1Vj82KytYqi_ziha0</v>
      </c>
      <c r="U23" s="4" t="str">
        <f>IF(LYNN!U23="","",_xlfn.XLOOKUP(LYNN!U23,'LYNN ids'!$A$1:$A$20,'LYNN ids'!$B$1:$B$20,""))</f>
        <v>14uCOjuWxxahpyW0J5tCTsPM_LD3cvxyr</v>
      </c>
      <c r="V23" s="4" t="str">
        <f>IF(LYNN!V23="","",_xlfn.XLOOKUP(LYNN!V23,'LYNN ids'!$A$1:$A$20,'LYNN ids'!$B$1:$B$20,""))</f>
        <v>14uCOjuWxxahpyW0J5tCTsPM_LD3cvxyr</v>
      </c>
      <c r="W23" s="4" t="str">
        <f>IF(LYNN!W23="","",_xlfn.XLOOKUP(LYNN!W23,'LYNN ids'!$A$1:$A$20,'LYNN ids'!$B$1:$B$20,""))</f>
        <v>14uCOjuWxxahpyW0J5tCTsPM_LD3cvxyr</v>
      </c>
    </row>
    <row r="25" spans="1:23" x14ac:dyDescent="0.25">
      <c r="U25" s="1"/>
      <c r="V25" s="1"/>
    </row>
  </sheetData>
  <conditionalFormatting sqref="B2:W23">
    <cfRule type="expression" dxfId="45" priority="1">
      <formula>B2&lt;&gt;INDEX($B$2:$W$23,            MATCH(B$1,$A$2:$A$23,0),            MATCH($A2,$B$1:$W$1,0))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A6644-19BA-4A41-ADA9-37328583F314}">
  <dimension ref="A1:W25"/>
  <sheetViews>
    <sheetView workbookViewId="0">
      <pane xSplit="1" ySplit="1" topLeftCell="B2" activePane="bottomRight" state="frozen"/>
      <selection activeCell="C6" sqref="C6"/>
      <selection pane="topRight" activeCell="C6" sqref="C6"/>
      <selection pane="bottomLeft" activeCell="C6" sqref="C6"/>
      <selection pane="bottomRight" activeCell="P7" sqref="P7"/>
    </sheetView>
  </sheetViews>
  <sheetFormatPr defaultColWidth="14.7109375" defaultRowHeight="15" x14ac:dyDescent="0.25"/>
  <cols>
    <col min="1" max="1" width="21.42578125" style="1" bestFit="1" customWidth="1"/>
    <col min="2" max="18" width="15.5703125" style="1" customWidth="1"/>
    <col min="19" max="20" width="14.7109375" style="1"/>
    <col min="21" max="22" width="14.7109375" style="5"/>
    <col min="23" max="16384" width="14.7109375" style="1"/>
  </cols>
  <sheetData>
    <row r="1" spans="1:23" x14ac:dyDescent="0.25">
      <c r="A1" s="2" t="s">
        <v>142</v>
      </c>
      <c r="B1" s="3" t="s">
        <v>138</v>
      </c>
      <c r="C1" s="3" t="s">
        <v>139</v>
      </c>
      <c r="D1" s="3" t="s">
        <v>140</v>
      </c>
      <c r="E1" s="3" t="s">
        <v>141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31</v>
      </c>
      <c r="T1" s="3" t="s">
        <v>34</v>
      </c>
      <c r="U1" s="3" t="s">
        <v>36</v>
      </c>
      <c r="V1" s="3" t="s">
        <v>40</v>
      </c>
      <c r="W1" s="3" t="s">
        <v>41</v>
      </c>
    </row>
    <row r="2" spans="1:23" x14ac:dyDescent="0.25">
      <c r="A2" s="3" t="s">
        <v>138</v>
      </c>
      <c r="B2" s="4" t="s">
        <v>116</v>
      </c>
      <c r="C2" s="4" t="s">
        <v>74</v>
      </c>
      <c r="D2" s="4" t="s">
        <v>74</v>
      </c>
      <c r="E2" s="4" t="s">
        <v>74</v>
      </c>
      <c r="F2" s="4" t="s">
        <v>73</v>
      </c>
      <c r="G2" s="4" t="s">
        <v>77</v>
      </c>
      <c r="H2" s="4" t="s">
        <v>79</v>
      </c>
      <c r="I2" s="4" t="s">
        <v>80</v>
      </c>
      <c r="J2" s="4" t="s">
        <v>5</v>
      </c>
      <c r="K2" s="4" t="s">
        <v>5</v>
      </c>
      <c r="L2" s="4" t="s">
        <v>73</v>
      </c>
      <c r="M2" s="4" t="s">
        <v>8</v>
      </c>
      <c r="N2" s="4" t="s">
        <v>116</v>
      </c>
      <c r="O2" s="4" t="s">
        <v>116</v>
      </c>
      <c r="P2" s="4" t="s">
        <v>31</v>
      </c>
      <c r="Q2" s="4" t="s">
        <v>5</v>
      </c>
      <c r="R2" s="4" t="s">
        <v>116</v>
      </c>
      <c r="S2" s="4" t="s">
        <v>31</v>
      </c>
      <c r="T2" s="4" t="s">
        <v>116</v>
      </c>
      <c r="U2" s="4" t="s">
        <v>70</v>
      </c>
      <c r="V2" s="4" t="s">
        <v>57</v>
      </c>
      <c r="W2" s="4" t="s">
        <v>60</v>
      </c>
    </row>
    <row r="3" spans="1:23" x14ac:dyDescent="0.25">
      <c r="A3" s="3" t="s">
        <v>139</v>
      </c>
      <c r="B3" s="4" t="s">
        <v>74</v>
      </c>
      <c r="C3" s="4" t="s">
        <v>115</v>
      </c>
      <c r="D3" s="4" t="s">
        <v>74</v>
      </c>
      <c r="E3" s="4" t="s">
        <v>74</v>
      </c>
      <c r="F3" s="4" t="s">
        <v>73</v>
      </c>
      <c r="G3" s="4" t="s">
        <v>77</v>
      </c>
      <c r="H3" s="4" t="s">
        <v>79</v>
      </c>
      <c r="I3" s="4" t="s">
        <v>80</v>
      </c>
      <c r="J3" s="4" t="s">
        <v>5</v>
      </c>
      <c r="K3" s="4" t="s">
        <v>5</v>
      </c>
      <c r="L3" s="4" t="s">
        <v>73</v>
      </c>
      <c r="M3" s="4" t="s">
        <v>8</v>
      </c>
      <c r="N3" s="4" t="s">
        <v>115</v>
      </c>
      <c r="O3" s="4" t="s">
        <v>115</v>
      </c>
      <c r="P3" s="4" t="s">
        <v>31</v>
      </c>
      <c r="Q3" s="4" t="s">
        <v>5</v>
      </c>
      <c r="R3" s="4" t="s">
        <v>115</v>
      </c>
      <c r="S3" s="4" t="s">
        <v>31</v>
      </c>
      <c r="T3" s="4" t="s">
        <v>115</v>
      </c>
      <c r="U3" s="4" t="s">
        <v>70</v>
      </c>
      <c r="V3" s="4" t="s">
        <v>57</v>
      </c>
      <c r="W3" s="4" t="s">
        <v>60</v>
      </c>
    </row>
    <row r="4" spans="1:23" x14ac:dyDescent="0.25">
      <c r="A4" s="3" t="s">
        <v>140</v>
      </c>
      <c r="B4" s="4" t="s">
        <v>74</v>
      </c>
      <c r="C4" s="4" t="s">
        <v>74</v>
      </c>
      <c r="D4" s="4" t="s">
        <v>113</v>
      </c>
      <c r="E4" s="4" t="s">
        <v>74</v>
      </c>
      <c r="F4" s="4" t="s">
        <v>73</v>
      </c>
      <c r="G4" s="4" t="s">
        <v>77</v>
      </c>
      <c r="H4" s="4" t="s">
        <v>79</v>
      </c>
      <c r="I4" s="4" t="s">
        <v>80</v>
      </c>
      <c r="J4" s="4" t="s">
        <v>5</v>
      </c>
      <c r="K4" s="4" t="s">
        <v>5</v>
      </c>
      <c r="L4" s="4" t="s">
        <v>73</v>
      </c>
      <c r="M4" s="4" t="s">
        <v>8</v>
      </c>
      <c r="N4" s="4" t="s">
        <v>113</v>
      </c>
      <c r="O4" s="4" t="s">
        <v>113</v>
      </c>
      <c r="P4" s="4" t="s">
        <v>31</v>
      </c>
      <c r="Q4" s="4" t="s">
        <v>5</v>
      </c>
      <c r="R4" s="4" t="s">
        <v>113</v>
      </c>
      <c r="S4" s="4" t="s">
        <v>31</v>
      </c>
      <c r="T4" s="4" t="s">
        <v>113</v>
      </c>
      <c r="U4" s="4" t="s">
        <v>70</v>
      </c>
      <c r="V4" s="4" t="s">
        <v>57</v>
      </c>
      <c r="W4" s="4" t="s">
        <v>60</v>
      </c>
    </row>
    <row r="5" spans="1:23" x14ac:dyDescent="0.25">
      <c r="A5" s="3" t="s">
        <v>141</v>
      </c>
      <c r="B5" s="4" t="s">
        <v>74</v>
      </c>
      <c r="C5" s="4" t="s">
        <v>74</v>
      </c>
      <c r="D5" s="4" t="s">
        <v>74</v>
      </c>
      <c r="E5" s="4" t="s">
        <v>114</v>
      </c>
      <c r="F5" s="4" t="s">
        <v>73</v>
      </c>
      <c r="G5" s="4" t="s">
        <v>77</v>
      </c>
      <c r="H5" s="4" t="s">
        <v>79</v>
      </c>
      <c r="I5" s="4" t="s">
        <v>80</v>
      </c>
      <c r="J5" s="4" t="s">
        <v>5</v>
      </c>
      <c r="K5" s="4" t="s">
        <v>5</v>
      </c>
      <c r="L5" s="4" t="s">
        <v>73</v>
      </c>
      <c r="M5" s="4" t="s">
        <v>8</v>
      </c>
      <c r="N5" s="4" t="s">
        <v>114</v>
      </c>
      <c r="O5" s="4" t="s">
        <v>114</v>
      </c>
      <c r="P5" s="4" t="s">
        <v>31</v>
      </c>
      <c r="Q5" s="4" t="s">
        <v>5</v>
      </c>
      <c r="R5" s="4" t="s">
        <v>114</v>
      </c>
      <c r="S5" s="4" t="s">
        <v>31</v>
      </c>
      <c r="T5" s="4" t="s">
        <v>114</v>
      </c>
      <c r="U5" s="4" t="s">
        <v>70</v>
      </c>
      <c r="V5" s="4" t="s">
        <v>57</v>
      </c>
      <c r="W5" s="4" t="s">
        <v>60</v>
      </c>
    </row>
    <row r="6" spans="1:23" x14ac:dyDescent="0.25">
      <c r="A6" s="3" t="s">
        <v>1</v>
      </c>
      <c r="B6" s="4" t="s">
        <v>73</v>
      </c>
      <c r="C6" s="4" t="s">
        <v>73</v>
      </c>
      <c r="D6" s="4" t="s">
        <v>73</v>
      </c>
      <c r="E6" s="4" t="s">
        <v>73</v>
      </c>
      <c r="F6" s="4" t="s">
        <v>73</v>
      </c>
      <c r="G6" s="4" t="s">
        <v>73</v>
      </c>
      <c r="H6" s="4" t="s">
        <v>73</v>
      </c>
      <c r="I6" s="4" t="s">
        <v>73</v>
      </c>
      <c r="J6" s="4" t="s">
        <v>73</v>
      </c>
      <c r="K6" s="4" t="s">
        <v>73</v>
      </c>
      <c r="L6" s="4" t="s">
        <v>73</v>
      </c>
      <c r="M6" s="4" t="s">
        <v>73</v>
      </c>
      <c r="N6" s="4" t="s">
        <v>73</v>
      </c>
      <c r="O6" s="4" t="s">
        <v>73</v>
      </c>
      <c r="P6" s="4" t="s">
        <v>73</v>
      </c>
      <c r="Q6" s="4" t="s">
        <v>73</v>
      </c>
      <c r="R6" s="4" t="s">
        <v>73</v>
      </c>
      <c r="S6" s="4" t="s">
        <v>31</v>
      </c>
      <c r="T6" s="4" t="s">
        <v>73</v>
      </c>
      <c r="U6" s="4" t="s">
        <v>73</v>
      </c>
      <c r="V6" s="4" t="s">
        <v>73</v>
      </c>
      <c r="W6" s="4" t="s">
        <v>73</v>
      </c>
    </row>
    <row r="7" spans="1:23" x14ac:dyDescent="0.25">
      <c r="A7" s="3" t="s">
        <v>2</v>
      </c>
      <c r="B7" s="4" t="s">
        <v>77</v>
      </c>
      <c r="C7" s="4" t="s">
        <v>77</v>
      </c>
      <c r="D7" s="4" t="s">
        <v>77</v>
      </c>
      <c r="E7" s="4" t="s">
        <v>77</v>
      </c>
      <c r="F7" s="4" t="s">
        <v>73</v>
      </c>
      <c r="G7" s="4" t="s">
        <v>77</v>
      </c>
      <c r="H7" s="4" t="s">
        <v>79</v>
      </c>
      <c r="I7" s="4" t="s">
        <v>80</v>
      </c>
      <c r="J7" s="4" t="s">
        <v>77</v>
      </c>
      <c r="K7" s="4" t="s">
        <v>77</v>
      </c>
      <c r="L7" s="4" t="s">
        <v>77</v>
      </c>
      <c r="M7" s="4" t="s">
        <v>8</v>
      </c>
      <c r="N7" s="4" t="s">
        <v>77</v>
      </c>
      <c r="O7" s="4" t="s">
        <v>77</v>
      </c>
      <c r="P7" s="4" t="s">
        <v>31</v>
      </c>
      <c r="Q7" s="4" t="s">
        <v>5</v>
      </c>
      <c r="R7" s="4" t="s">
        <v>77</v>
      </c>
      <c r="S7" s="4" t="s">
        <v>31</v>
      </c>
      <c r="T7" s="4" t="s">
        <v>77</v>
      </c>
      <c r="U7" s="4" t="s">
        <v>70</v>
      </c>
      <c r="V7" s="4" t="s">
        <v>57</v>
      </c>
      <c r="W7" s="4" t="s">
        <v>60</v>
      </c>
    </row>
    <row r="8" spans="1:23" x14ac:dyDescent="0.25">
      <c r="A8" s="3" t="s">
        <v>3</v>
      </c>
      <c r="B8" s="4" t="s">
        <v>79</v>
      </c>
      <c r="C8" s="4" t="s">
        <v>79</v>
      </c>
      <c r="D8" s="4" t="s">
        <v>79</v>
      </c>
      <c r="E8" s="4" t="s">
        <v>79</v>
      </c>
      <c r="F8" s="4" t="s">
        <v>73</v>
      </c>
      <c r="G8" s="4" t="s">
        <v>79</v>
      </c>
      <c r="H8" s="4" t="s">
        <v>79</v>
      </c>
      <c r="I8" s="4" t="s">
        <v>80</v>
      </c>
      <c r="J8" s="4" t="s">
        <v>79</v>
      </c>
      <c r="K8" s="4" t="s">
        <v>79</v>
      </c>
      <c r="L8" s="4" t="s">
        <v>79</v>
      </c>
      <c r="M8" s="4" t="s">
        <v>8</v>
      </c>
      <c r="N8" s="4" t="s">
        <v>79</v>
      </c>
      <c r="O8" s="4" t="s">
        <v>79</v>
      </c>
      <c r="P8" s="4" t="s">
        <v>31</v>
      </c>
      <c r="Q8" s="4" t="s">
        <v>5</v>
      </c>
      <c r="R8" s="4" t="s">
        <v>79</v>
      </c>
      <c r="S8" s="4" t="s">
        <v>31</v>
      </c>
      <c r="T8" s="4" t="s">
        <v>79</v>
      </c>
      <c r="U8" s="4" t="s">
        <v>70</v>
      </c>
      <c r="V8" s="4" t="s">
        <v>57</v>
      </c>
      <c r="W8" s="4" t="s">
        <v>60</v>
      </c>
    </row>
    <row r="9" spans="1:23" x14ac:dyDescent="0.25">
      <c r="A9" s="3" t="s">
        <v>4</v>
      </c>
      <c r="B9" s="4" t="s">
        <v>80</v>
      </c>
      <c r="C9" s="4" t="s">
        <v>80</v>
      </c>
      <c r="D9" s="4" t="s">
        <v>80</v>
      </c>
      <c r="E9" s="4" t="s">
        <v>80</v>
      </c>
      <c r="F9" s="4" t="s">
        <v>73</v>
      </c>
      <c r="G9" s="4" t="s">
        <v>80</v>
      </c>
      <c r="H9" s="4" t="s">
        <v>80</v>
      </c>
      <c r="I9" s="4" t="s">
        <v>80</v>
      </c>
      <c r="J9" s="4" t="s">
        <v>80</v>
      </c>
      <c r="K9" s="4" t="s">
        <v>80</v>
      </c>
      <c r="L9" s="4" t="s">
        <v>80</v>
      </c>
      <c r="M9" s="4" t="s">
        <v>8</v>
      </c>
      <c r="N9" s="4" t="s">
        <v>80</v>
      </c>
      <c r="O9" s="4" t="s">
        <v>80</v>
      </c>
      <c r="P9" s="4" t="s">
        <v>31</v>
      </c>
      <c r="Q9" s="4" t="s">
        <v>5</v>
      </c>
      <c r="R9" s="4" t="s">
        <v>80</v>
      </c>
      <c r="S9" s="4" t="s">
        <v>31</v>
      </c>
      <c r="T9" s="4" t="s">
        <v>80</v>
      </c>
      <c r="U9" s="4" t="s">
        <v>70</v>
      </c>
      <c r="V9" s="4" t="s">
        <v>57</v>
      </c>
      <c r="W9" s="4" t="s">
        <v>60</v>
      </c>
    </row>
    <row r="10" spans="1:23" x14ac:dyDescent="0.25">
      <c r="A10" s="3" t="s">
        <v>5</v>
      </c>
      <c r="B10" s="4" t="s">
        <v>5</v>
      </c>
      <c r="C10" s="4" t="s">
        <v>5</v>
      </c>
      <c r="D10" s="4" t="s">
        <v>5</v>
      </c>
      <c r="E10" s="4" t="s">
        <v>5</v>
      </c>
      <c r="F10" s="4" t="s">
        <v>73</v>
      </c>
      <c r="G10" s="4" t="s">
        <v>77</v>
      </c>
      <c r="H10" s="4" t="s">
        <v>79</v>
      </c>
      <c r="I10" s="4" t="s">
        <v>80</v>
      </c>
      <c r="J10" s="4" t="s">
        <v>5</v>
      </c>
      <c r="K10" s="4" t="s">
        <v>5</v>
      </c>
      <c r="L10" s="4" t="s">
        <v>5</v>
      </c>
      <c r="M10" s="4" t="s">
        <v>8</v>
      </c>
      <c r="N10" s="4" t="s">
        <v>5</v>
      </c>
      <c r="O10" s="4" t="s">
        <v>5</v>
      </c>
      <c r="P10" s="4" t="s">
        <v>31</v>
      </c>
      <c r="Q10" s="4" t="s">
        <v>5</v>
      </c>
      <c r="R10" s="4" t="s">
        <v>5</v>
      </c>
      <c r="S10" s="4" t="s">
        <v>31</v>
      </c>
      <c r="T10" s="4" t="s">
        <v>5</v>
      </c>
      <c r="U10" s="4" t="s">
        <v>70</v>
      </c>
      <c r="V10" s="4" t="s">
        <v>57</v>
      </c>
      <c r="W10" s="4" t="s">
        <v>60</v>
      </c>
    </row>
    <row r="11" spans="1:23" x14ac:dyDescent="0.25">
      <c r="A11" s="3" t="s">
        <v>6</v>
      </c>
      <c r="B11" s="4" t="s">
        <v>5</v>
      </c>
      <c r="C11" s="4" t="s">
        <v>5</v>
      </c>
      <c r="D11" s="4" t="s">
        <v>5</v>
      </c>
      <c r="E11" s="4" t="s">
        <v>5</v>
      </c>
      <c r="F11" s="4" t="s">
        <v>73</v>
      </c>
      <c r="G11" s="4" t="s">
        <v>77</v>
      </c>
      <c r="H11" s="4" t="s">
        <v>79</v>
      </c>
      <c r="I11" s="4" t="s">
        <v>80</v>
      </c>
      <c r="J11" s="4" t="s">
        <v>5</v>
      </c>
      <c r="K11" s="4" t="s">
        <v>5</v>
      </c>
      <c r="L11" s="4" t="s">
        <v>5</v>
      </c>
      <c r="M11" s="4" t="s">
        <v>8</v>
      </c>
      <c r="N11" s="4" t="s">
        <v>5</v>
      </c>
      <c r="O11" s="4" t="s">
        <v>5</v>
      </c>
      <c r="P11" s="4" t="s">
        <v>31</v>
      </c>
      <c r="Q11" s="4" t="s">
        <v>5</v>
      </c>
      <c r="R11" s="4" t="s">
        <v>5</v>
      </c>
      <c r="S11" s="4" t="s">
        <v>31</v>
      </c>
      <c r="T11" s="4" t="s">
        <v>5</v>
      </c>
      <c r="U11" s="4" t="s">
        <v>70</v>
      </c>
      <c r="V11" s="4" t="s">
        <v>57</v>
      </c>
      <c r="W11" s="4" t="s">
        <v>60</v>
      </c>
    </row>
    <row r="12" spans="1:23" x14ac:dyDescent="0.25">
      <c r="A12" s="3" t="s">
        <v>7</v>
      </c>
      <c r="B12" s="4" t="s">
        <v>73</v>
      </c>
      <c r="C12" s="4" t="s">
        <v>73</v>
      </c>
      <c r="D12" s="4" t="s">
        <v>73</v>
      </c>
      <c r="E12" s="4" t="s">
        <v>73</v>
      </c>
      <c r="F12" s="4" t="s">
        <v>73</v>
      </c>
      <c r="G12" s="4" t="s">
        <v>77</v>
      </c>
      <c r="H12" s="4" t="s">
        <v>79</v>
      </c>
      <c r="I12" s="4" t="s">
        <v>80</v>
      </c>
      <c r="J12" s="4" t="s">
        <v>5</v>
      </c>
      <c r="K12" s="4" t="s">
        <v>5</v>
      </c>
      <c r="L12" s="4" t="s">
        <v>77</v>
      </c>
      <c r="M12" s="4" t="s">
        <v>8</v>
      </c>
      <c r="N12" s="4" t="s">
        <v>73</v>
      </c>
      <c r="O12" s="4" t="s">
        <v>73</v>
      </c>
      <c r="P12" s="4" t="s">
        <v>31</v>
      </c>
      <c r="Q12" s="4" t="s">
        <v>5</v>
      </c>
      <c r="R12" s="4" t="s">
        <v>73</v>
      </c>
      <c r="S12" s="4" t="s">
        <v>31</v>
      </c>
      <c r="T12" s="4" t="s">
        <v>73</v>
      </c>
      <c r="U12" s="4" t="s">
        <v>70</v>
      </c>
      <c r="V12" s="4" t="s">
        <v>57</v>
      </c>
      <c r="W12" s="4" t="s">
        <v>60</v>
      </c>
    </row>
    <row r="13" spans="1:23" x14ac:dyDescent="0.25">
      <c r="A13" s="3" t="s">
        <v>8</v>
      </c>
      <c r="B13" s="4" t="s">
        <v>8</v>
      </c>
      <c r="C13" s="4" t="s">
        <v>8</v>
      </c>
      <c r="D13" s="4" t="s">
        <v>8</v>
      </c>
      <c r="E13" s="4" t="s">
        <v>8</v>
      </c>
      <c r="F13" s="4" t="s">
        <v>73</v>
      </c>
      <c r="G13" s="4" t="s">
        <v>8</v>
      </c>
      <c r="H13" s="4" t="s">
        <v>8</v>
      </c>
      <c r="I13" s="4" t="s">
        <v>8</v>
      </c>
      <c r="J13" s="4" t="s">
        <v>8</v>
      </c>
      <c r="K13" s="4" t="s">
        <v>8</v>
      </c>
      <c r="L13" s="4" t="s">
        <v>8</v>
      </c>
      <c r="M13" s="4" t="s">
        <v>8</v>
      </c>
      <c r="N13" s="4" t="s">
        <v>8</v>
      </c>
      <c r="O13" s="4" t="s">
        <v>8</v>
      </c>
      <c r="P13" s="4" t="s">
        <v>31</v>
      </c>
      <c r="Q13" s="4" t="s">
        <v>8</v>
      </c>
      <c r="R13" s="4" t="s">
        <v>8</v>
      </c>
      <c r="S13" s="4" t="s">
        <v>31</v>
      </c>
      <c r="T13" s="4" t="s">
        <v>8</v>
      </c>
      <c r="U13" s="4" t="s">
        <v>70</v>
      </c>
      <c r="V13" s="4" t="s">
        <v>57</v>
      </c>
      <c r="W13" s="4" t="s">
        <v>60</v>
      </c>
    </row>
    <row r="14" spans="1:23" x14ac:dyDescent="0.25">
      <c r="A14" s="3" t="s">
        <v>9</v>
      </c>
      <c r="B14" s="4" t="s">
        <v>116</v>
      </c>
      <c r="C14" s="4" t="s">
        <v>115</v>
      </c>
      <c r="D14" s="4" t="s">
        <v>113</v>
      </c>
      <c r="E14" s="4" t="s">
        <v>114</v>
      </c>
      <c r="F14" s="4" t="s">
        <v>73</v>
      </c>
      <c r="G14" s="4" t="s">
        <v>77</v>
      </c>
      <c r="H14" s="4" t="s">
        <v>79</v>
      </c>
      <c r="I14" s="4" t="s">
        <v>80</v>
      </c>
      <c r="J14" s="4" t="s">
        <v>5</v>
      </c>
      <c r="K14" s="4" t="s">
        <v>5</v>
      </c>
      <c r="L14" s="4" t="s">
        <v>73</v>
      </c>
      <c r="M14" s="4" t="s">
        <v>8</v>
      </c>
      <c r="N14" s="4" t="s">
        <v>74</v>
      </c>
      <c r="O14" s="4" t="s">
        <v>74</v>
      </c>
      <c r="P14" s="4" t="s">
        <v>31</v>
      </c>
      <c r="Q14" s="4" t="s">
        <v>5</v>
      </c>
      <c r="R14" s="4" t="s">
        <v>74</v>
      </c>
      <c r="S14" s="4" t="s">
        <v>31</v>
      </c>
      <c r="T14" s="4" t="s">
        <v>74</v>
      </c>
      <c r="U14" s="4" t="s">
        <v>70</v>
      </c>
      <c r="V14" s="4" t="s">
        <v>57</v>
      </c>
      <c r="W14" s="4" t="s">
        <v>60</v>
      </c>
    </row>
    <row r="15" spans="1:23" x14ac:dyDescent="0.25">
      <c r="A15" s="3" t="s">
        <v>10</v>
      </c>
      <c r="B15" s="4" t="s">
        <v>116</v>
      </c>
      <c r="C15" s="4" t="s">
        <v>115</v>
      </c>
      <c r="D15" s="4" t="s">
        <v>113</v>
      </c>
      <c r="E15" s="4" t="s">
        <v>114</v>
      </c>
      <c r="F15" s="4" t="s">
        <v>73</v>
      </c>
      <c r="G15" s="4" t="s">
        <v>77</v>
      </c>
      <c r="H15" s="4" t="s">
        <v>79</v>
      </c>
      <c r="I15" s="4" t="s">
        <v>80</v>
      </c>
      <c r="J15" s="4" t="s">
        <v>5</v>
      </c>
      <c r="K15" s="4" t="s">
        <v>5</v>
      </c>
      <c r="L15" s="4" t="s">
        <v>73</v>
      </c>
      <c r="M15" s="4" t="s">
        <v>8</v>
      </c>
      <c r="N15" s="4" t="s">
        <v>74</v>
      </c>
      <c r="O15" s="4" t="s">
        <v>8</v>
      </c>
      <c r="P15" s="4" t="s">
        <v>31</v>
      </c>
      <c r="Q15" s="4" t="s">
        <v>5</v>
      </c>
      <c r="R15" s="4" t="s">
        <v>74</v>
      </c>
      <c r="S15" s="4" t="s">
        <v>31</v>
      </c>
      <c r="T15" s="4" t="s">
        <v>74</v>
      </c>
      <c r="U15" s="4" t="s">
        <v>70</v>
      </c>
      <c r="V15" s="4" t="s">
        <v>57</v>
      </c>
      <c r="W15" s="4" t="s">
        <v>60</v>
      </c>
    </row>
    <row r="16" spans="1:23" x14ac:dyDescent="0.25">
      <c r="A16" s="3" t="s">
        <v>11</v>
      </c>
      <c r="B16" s="4" t="s">
        <v>31</v>
      </c>
      <c r="C16" s="4" t="s">
        <v>31</v>
      </c>
      <c r="D16" s="4" t="s">
        <v>31</v>
      </c>
      <c r="E16" s="4" t="s">
        <v>31</v>
      </c>
      <c r="F16" s="4" t="s">
        <v>73</v>
      </c>
      <c r="G16" s="4" t="s">
        <v>31</v>
      </c>
      <c r="H16" s="4" t="s">
        <v>31</v>
      </c>
      <c r="I16" s="4" t="s">
        <v>31</v>
      </c>
      <c r="J16" s="4" t="s">
        <v>31</v>
      </c>
      <c r="K16" s="4" t="s">
        <v>31</v>
      </c>
      <c r="L16" s="4" t="s">
        <v>31</v>
      </c>
      <c r="M16" s="4" t="s">
        <v>31</v>
      </c>
      <c r="N16" s="4" t="s">
        <v>31</v>
      </c>
      <c r="O16" s="4" t="s">
        <v>31</v>
      </c>
      <c r="P16" s="4" t="s">
        <v>31</v>
      </c>
      <c r="Q16" s="4" t="s">
        <v>31</v>
      </c>
      <c r="R16" s="4" t="s">
        <v>31</v>
      </c>
      <c r="S16" s="4" t="s">
        <v>31</v>
      </c>
      <c r="T16" s="4" t="s">
        <v>31</v>
      </c>
      <c r="U16" s="4" t="s">
        <v>70</v>
      </c>
      <c r="V16" s="4" t="s">
        <v>31</v>
      </c>
      <c r="W16" s="4" t="s">
        <v>31</v>
      </c>
    </row>
    <row r="17" spans="1:23" x14ac:dyDescent="0.25">
      <c r="A17" s="3" t="s">
        <v>12</v>
      </c>
      <c r="B17" s="4" t="s">
        <v>5</v>
      </c>
      <c r="C17" s="4" t="s">
        <v>5</v>
      </c>
      <c r="D17" s="4" t="s">
        <v>5</v>
      </c>
      <c r="E17" s="4" t="s">
        <v>5</v>
      </c>
      <c r="F17" s="4" t="s">
        <v>73</v>
      </c>
      <c r="G17" s="4" t="s">
        <v>5</v>
      </c>
      <c r="H17" s="4" t="s">
        <v>5</v>
      </c>
      <c r="I17" s="4" t="s">
        <v>5</v>
      </c>
      <c r="J17" s="4" t="s">
        <v>5</v>
      </c>
      <c r="K17" s="4" t="s">
        <v>5</v>
      </c>
      <c r="L17" s="4" t="s">
        <v>5</v>
      </c>
      <c r="M17" s="4" t="s">
        <v>8</v>
      </c>
      <c r="N17" s="4" t="s">
        <v>5</v>
      </c>
      <c r="O17" s="4" t="s">
        <v>5</v>
      </c>
      <c r="P17" s="4" t="s">
        <v>31</v>
      </c>
      <c r="Q17" s="4" t="s">
        <v>5</v>
      </c>
      <c r="R17" s="4" t="s">
        <v>5</v>
      </c>
      <c r="S17" s="4" t="s">
        <v>31</v>
      </c>
      <c r="T17" s="4" t="s">
        <v>5</v>
      </c>
      <c r="U17" s="4" t="s">
        <v>70</v>
      </c>
      <c r="V17" s="4" t="s">
        <v>57</v>
      </c>
      <c r="W17" s="4" t="s">
        <v>60</v>
      </c>
    </row>
    <row r="18" spans="1:23" x14ac:dyDescent="0.25">
      <c r="A18" s="3" t="s">
        <v>13</v>
      </c>
      <c r="B18" s="4" t="s">
        <v>116</v>
      </c>
      <c r="C18" s="4" t="s">
        <v>115</v>
      </c>
      <c r="D18" s="4" t="s">
        <v>113</v>
      </c>
      <c r="E18" s="4" t="s">
        <v>114</v>
      </c>
      <c r="F18" s="4" t="s">
        <v>73</v>
      </c>
      <c r="G18" s="4" t="s">
        <v>77</v>
      </c>
      <c r="H18" s="4" t="s">
        <v>79</v>
      </c>
      <c r="I18" s="4" t="s">
        <v>80</v>
      </c>
      <c r="J18" s="4" t="s">
        <v>5</v>
      </c>
      <c r="K18" s="4" t="s">
        <v>5</v>
      </c>
      <c r="L18" s="4" t="s">
        <v>73</v>
      </c>
      <c r="M18" s="4" t="s">
        <v>8</v>
      </c>
      <c r="N18" s="4" t="s">
        <v>74</v>
      </c>
      <c r="O18" s="4" t="s">
        <v>74</v>
      </c>
      <c r="P18" s="4" t="s">
        <v>31</v>
      </c>
      <c r="Q18" s="4" t="s">
        <v>5</v>
      </c>
      <c r="R18" s="4" t="s">
        <v>74</v>
      </c>
      <c r="S18" s="4" t="s">
        <v>31</v>
      </c>
      <c r="T18" s="4" t="s">
        <v>74</v>
      </c>
      <c r="U18" s="4" t="s">
        <v>70</v>
      </c>
      <c r="V18" s="4" t="s">
        <v>57</v>
      </c>
      <c r="W18" s="4" t="s">
        <v>60</v>
      </c>
    </row>
    <row r="19" spans="1:23" x14ac:dyDescent="0.25">
      <c r="A19" s="3" t="s">
        <v>31</v>
      </c>
      <c r="B19" s="4" t="s">
        <v>31</v>
      </c>
      <c r="C19" s="4" t="s">
        <v>31</v>
      </c>
      <c r="D19" s="4" t="s">
        <v>31</v>
      </c>
      <c r="E19" s="4" t="s">
        <v>31</v>
      </c>
      <c r="F19" s="4" t="s">
        <v>31</v>
      </c>
      <c r="G19" s="4" t="s">
        <v>31</v>
      </c>
      <c r="H19" s="4" t="s">
        <v>31</v>
      </c>
      <c r="I19" s="4" t="s">
        <v>31</v>
      </c>
      <c r="J19" s="4" t="s">
        <v>31</v>
      </c>
      <c r="K19" s="4" t="s">
        <v>31</v>
      </c>
      <c r="L19" s="4" t="s">
        <v>31</v>
      </c>
      <c r="M19" s="4" t="s">
        <v>31</v>
      </c>
      <c r="N19" s="4" t="s">
        <v>31</v>
      </c>
      <c r="O19" s="4" t="s">
        <v>31</v>
      </c>
      <c r="P19" s="4" t="s">
        <v>31</v>
      </c>
      <c r="Q19" s="4" t="s">
        <v>31</v>
      </c>
      <c r="R19" s="4" t="s">
        <v>31</v>
      </c>
      <c r="S19" s="4" t="s">
        <v>31</v>
      </c>
      <c r="T19" s="4" t="s">
        <v>31</v>
      </c>
      <c r="U19" s="4" t="s">
        <v>31</v>
      </c>
      <c r="V19" s="4" t="s">
        <v>31</v>
      </c>
      <c r="W19" s="4" t="s">
        <v>31</v>
      </c>
    </row>
    <row r="20" spans="1:23" x14ac:dyDescent="0.25">
      <c r="A20" s="3" t="s">
        <v>34</v>
      </c>
      <c r="B20" s="4" t="s">
        <v>116</v>
      </c>
      <c r="C20" s="4" t="s">
        <v>115</v>
      </c>
      <c r="D20" s="4" t="s">
        <v>113</v>
      </c>
      <c r="E20" s="4" t="s">
        <v>114</v>
      </c>
      <c r="F20" s="4" t="s">
        <v>73</v>
      </c>
      <c r="G20" s="4" t="s">
        <v>77</v>
      </c>
      <c r="H20" s="4" t="s">
        <v>79</v>
      </c>
      <c r="I20" s="4" t="s">
        <v>80</v>
      </c>
      <c r="J20" s="4" t="s">
        <v>5</v>
      </c>
      <c r="K20" s="4" t="s">
        <v>5</v>
      </c>
      <c r="L20" s="4" t="s">
        <v>73</v>
      </c>
      <c r="M20" s="4" t="s">
        <v>8</v>
      </c>
      <c r="N20" s="4" t="s">
        <v>74</v>
      </c>
      <c r="O20" s="4" t="s">
        <v>74</v>
      </c>
      <c r="P20" s="4" t="s">
        <v>31</v>
      </c>
      <c r="Q20" s="4" t="s">
        <v>5</v>
      </c>
      <c r="R20" s="4" t="s">
        <v>74</v>
      </c>
      <c r="S20" s="4" t="s">
        <v>31</v>
      </c>
      <c r="T20" s="4" t="s">
        <v>77</v>
      </c>
      <c r="U20" s="4" t="s">
        <v>70</v>
      </c>
      <c r="V20" s="4" t="s">
        <v>57</v>
      </c>
      <c r="W20" s="4" t="s">
        <v>60</v>
      </c>
    </row>
    <row r="21" spans="1:23" x14ac:dyDescent="0.25">
      <c r="A21" s="3" t="s">
        <v>36</v>
      </c>
      <c r="B21" s="4" t="s">
        <v>70</v>
      </c>
      <c r="C21" s="4" t="s">
        <v>70</v>
      </c>
      <c r="D21" s="4" t="s">
        <v>70</v>
      </c>
      <c r="E21" s="4" t="s">
        <v>70</v>
      </c>
      <c r="F21" s="4" t="s">
        <v>73</v>
      </c>
      <c r="G21" s="4" t="s">
        <v>70</v>
      </c>
      <c r="H21" s="4" t="s">
        <v>70</v>
      </c>
      <c r="I21" s="4" t="s">
        <v>70</v>
      </c>
      <c r="J21" s="4" t="s">
        <v>70</v>
      </c>
      <c r="K21" s="4" t="s">
        <v>70</v>
      </c>
      <c r="L21" s="4" t="s">
        <v>70</v>
      </c>
      <c r="M21" s="4" t="s">
        <v>70</v>
      </c>
      <c r="N21" s="4" t="s">
        <v>70</v>
      </c>
      <c r="O21" s="4" t="s">
        <v>70</v>
      </c>
      <c r="P21" s="4" t="s">
        <v>70</v>
      </c>
      <c r="Q21" s="4" t="s">
        <v>70</v>
      </c>
      <c r="R21" s="4" t="s">
        <v>70</v>
      </c>
      <c r="S21" s="4" t="s">
        <v>31</v>
      </c>
      <c r="T21" s="4" t="s">
        <v>70</v>
      </c>
      <c r="U21" s="4" t="s">
        <v>70</v>
      </c>
      <c r="V21" s="4" t="s">
        <v>70</v>
      </c>
      <c r="W21" s="4" t="s">
        <v>70</v>
      </c>
    </row>
    <row r="22" spans="1:23" x14ac:dyDescent="0.25">
      <c r="A22" s="3" t="s">
        <v>40</v>
      </c>
      <c r="B22" s="4" t="s">
        <v>57</v>
      </c>
      <c r="C22" s="4" t="s">
        <v>57</v>
      </c>
      <c r="D22" s="4" t="s">
        <v>57</v>
      </c>
      <c r="E22" s="4" t="s">
        <v>57</v>
      </c>
      <c r="F22" s="4" t="s">
        <v>73</v>
      </c>
      <c r="G22" s="4" t="s">
        <v>57</v>
      </c>
      <c r="H22" s="4" t="s">
        <v>57</v>
      </c>
      <c r="I22" s="4" t="s">
        <v>57</v>
      </c>
      <c r="J22" s="4" t="s">
        <v>57</v>
      </c>
      <c r="K22" s="4" t="s">
        <v>57</v>
      </c>
      <c r="L22" s="4" t="s">
        <v>57</v>
      </c>
      <c r="M22" s="4" t="s">
        <v>57</v>
      </c>
      <c r="N22" s="4" t="s">
        <v>57</v>
      </c>
      <c r="O22" s="4" t="s">
        <v>57</v>
      </c>
      <c r="P22" s="4" t="s">
        <v>31</v>
      </c>
      <c r="Q22" s="4" t="s">
        <v>57</v>
      </c>
      <c r="R22" s="4" t="s">
        <v>57</v>
      </c>
      <c r="S22" s="4" t="s">
        <v>31</v>
      </c>
      <c r="T22" s="4" t="s">
        <v>57</v>
      </c>
      <c r="U22" s="4" t="s">
        <v>70</v>
      </c>
      <c r="V22" s="4" t="s">
        <v>57</v>
      </c>
      <c r="W22" s="4" t="s">
        <v>57</v>
      </c>
    </row>
    <row r="23" spans="1:23" x14ac:dyDescent="0.25">
      <c r="A23" s="3" t="s">
        <v>41</v>
      </c>
      <c r="B23" s="4" t="s">
        <v>60</v>
      </c>
      <c r="C23" s="4" t="s">
        <v>60</v>
      </c>
      <c r="D23" s="4" t="s">
        <v>60</v>
      </c>
      <c r="E23" s="4" t="s">
        <v>60</v>
      </c>
      <c r="F23" s="4" t="s">
        <v>73</v>
      </c>
      <c r="G23" s="4" t="s">
        <v>60</v>
      </c>
      <c r="H23" s="4" t="s">
        <v>60</v>
      </c>
      <c r="I23" s="4" t="s">
        <v>60</v>
      </c>
      <c r="J23" s="4" t="s">
        <v>60</v>
      </c>
      <c r="K23" s="4" t="s">
        <v>60</v>
      </c>
      <c r="L23" s="4" t="s">
        <v>60</v>
      </c>
      <c r="M23" s="4" t="s">
        <v>60</v>
      </c>
      <c r="N23" s="4" t="s">
        <v>60</v>
      </c>
      <c r="O23" s="4" t="s">
        <v>60</v>
      </c>
      <c r="P23" s="4" t="s">
        <v>31</v>
      </c>
      <c r="Q23" s="4" t="s">
        <v>60</v>
      </c>
      <c r="R23" s="4" t="s">
        <v>60</v>
      </c>
      <c r="S23" s="4" t="s">
        <v>31</v>
      </c>
      <c r="T23" s="4" t="s">
        <v>60</v>
      </c>
      <c r="U23" s="4" t="s">
        <v>70</v>
      </c>
      <c r="V23" s="4" t="s">
        <v>57</v>
      </c>
      <c r="W23" s="4" t="s">
        <v>60</v>
      </c>
    </row>
    <row r="25" spans="1:23" x14ac:dyDescent="0.25">
      <c r="U25" s="1"/>
      <c r="V25" s="1"/>
    </row>
  </sheetData>
  <conditionalFormatting sqref="B2:W23">
    <cfRule type="cellIs" dxfId="1" priority="34" operator="equal">
      <formula>"Unsorted"</formula>
    </cfRule>
    <cfRule type="expression" dxfId="0" priority="33">
      <formula>B2&lt;&gt;INDEX($B$2:$W$23,            MATCH(B$1,$A$2:$A$23,0),            MATCH($A2,$B$1:$W$1,0))</formula>
    </cfRule>
  </conditionalFormatting>
  <conditionalFormatting sqref="W2:W23">
    <cfRule type="cellIs" dxfId="35" priority="41" operator="equal">
      <formula>"Unsorted"</formula>
    </cfRule>
    <cfRule type="expression" dxfId="34" priority="42">
      <formula>W2&lt;&gt;INDEX($B$2:$W$23,            MATCH(#REF!,$A$2:$A$23,0),            MATCH($A2,$B$1:$W$1,0))</formula>
    </cfRule>
  </conditionalFormatting>
  <conditionalFormatting sqref="B23">
    <cfRule type="cellIs" dxfId="33" priority="31" operator="equal">
      <formula>"Unsorted"</formula>
    </cfRule>
    <cfRule type="expression" dxfId="32" priority="32">
      <formula>B23&lt;&gt;INDEX($B$2:$W$23,            MATCH(#REF!,$A$2:$A$23,0),            MATCH($A23,$B$1:$W$1,0))</formula>
    </cfRule>
  </conditionalFormatting>
  <conditionalFormatting sqref="C23">
    <cfRule type="cellIs" dxfId="31" priority="29" operator="equal">
      <formula>"Unsorted"</formula>
    </cfRule>
    <cfRule type="expression" dxfId="30" priority="30">
      <formula>C23&lt;&gt;INDEX($B$2:$W$23,            MATCH(#REF!,$A$2:$A$23,0),            MATCH($A23,$B$1:$W$1,0))</formula>
    </cfRule>
  </conditionalFormatting>
  <conditionalFormatting sqref="D23">
    <cfRule type="cellIs" dxfId="29" priority="27" operator="equal">
      <formula>"Unsorted"</formula>
    </cfRule>
    <cfRule type="expression" dxfId="28" priority="28">
      <formula>D23&lt;&gt;INDEX($B$2:$W$23,            MATCH(#REF!,$A$2:$A$23,0),            MATCH($A23,$B$1:$W$1,0))</formula>
    </cfRule>
  </conditionalFormatting>
  <conditionalFormatting sqref="E23">
    <cfRule type="cellIs" dxfId="27" priority="25" operator="equal">
      <formula>"Unsorted"</formula>
    </cfRule>
    <cfRule type="expression" dxfId="26" priority="26">
      <formula>E23&lt;&gt;INDEX($B$2:$W$23,            MATCH(#REF!,$A$2:$A$23,0),            MATCH($A23,$B$1:$W$1,0))</formula>
    </cfRule>
  </conditionalFormatting>
  <conditionalFormatting sqref="G23">
    <cfRule type="cellIs" dxfId="25" priority="23" operator="equal">
      <formula>"Unsorted"</formula>
    </cfRule>
    <cfRule type="expression" dxfId="24" priority="24">
      <formula>G23&lt;&gt;INDEX($B$2:$W$23,            MATCH(#REF!,$A$2:$A$23,0),            MATCH($A23,$B$1:$W$1,0))</formula>
    </cfRule>
  </conditionalFormatting>
  <conditionalFormatting sqref="H23">
    <cfRule type="cellIs" dxfId="23" priority="21" operator="equal">
      <formula>"Unsorted"</formula>
    </cfRule>
    <cfRule type="expression" dxfId="22" priority="22">
      <formula>H23&lt;&gt;INDEX($B$2:$W$23,            MATCH(#REF!,$A$2:$A$23,0),            MATCH($A23,$B$1:$W$1,0))</formula>
    </cfRule>
  </conditionalFormatting>
  <conditionalFormatting sqref="I23">
    <cfRule type="cellIs" dxfId="21" priority="19" operator="equal">
      <formula>"Unsorted"</formula>
    </cfRule>
    <cfRule type="expression" dxfId="20" priority="20">
      <formula>I23&lt;&gt;INDEX($B$2:$W$23,            MATCH(#REF!,$A$2:$A$23,0),            MATCH($A23,$B$1:$W$1,0))</formula>
    </cfRule>
  </conditionalFormatting>
  <conditionalFormatting sqref="J23">
    <cfRule type="cellIs" dxfId="19" priority="17" operator="equal">
      <formula>"Unsorted"</formula>
    </cfRule>
    <cfRule type="expression" dxfId="18" priority="18">
      <formula>J23&lt;&gt;INDEX($B$2:$W$23,            MATCH(#REF!,$A$2:$A$23,0),            MATCH($A23,$B$1:$W$1,0))</formula>
    </cfRule>
  </conditionalFormatting>
  <conditionalFormatting sqref="K23">
    <cfRule type="cellIs" dxfId="17" priority="15" operator="equal">
      <formula>"Unsorted"</formula>
    </cfRule>
    <cfRule type="expression" dxfId="16" priority="16">
      <formula>K23&lt;&gt;INDEX($B$2:$W$23,            MATCH(#REF!,$A$2:$A$23,0),            MATCH($A23,$B$1:$W$1,0))</formula>
    </cfRule>
  </conditionalFormatting>
  <conditionalFormatting sqref="L23">
    <cfRule type="cellIs" dxfId="15" priority="13" operator="equal">
      <formula>"Unsorted"</formula>
    </cfRule>
    <cfRule type="expression" dxfId="14" priority="14">
      <formula>L23&lt;&gt;INDEX($B$2:$W$23,            MATCH(#REF!,$A$2:$A$23,0),            MATCH($A23,$B$1:$W$1,0))</formula>
    </cfRule>
  </conditionalFormatting>
  <conditionalFormatting sqref="M23">
    <cfRule type="cellIs" dxfId="13" priority="11" operator="equal">
      <formula>"Unsorted"</formula>
    </cfRule>
    <cfRule type="expression" dxfId="12" priority="12">
      <formula>M23&lt;&gt;INDEX($B$2:$W$23,            MATCH(#REF!,$A$2:$A$23,0),            MATCH($A23,$B$1:$W$1,0))</formula>
    </cfRule>
  </conditionalFormatting>
  <conditionalFormatting sqref="N23">
    <cfRule type="cellIs" dxfId="11" priority="9" operator="equal">
      <formula>"Unsorted"</formula>
    </cfRule>
    <cfRule type="expression" dxfId="10" priority="10">
      <formula>N23&lt;&gt;INDEX($B$2:$W$23,            MATCH(#REF!,$A$2:$A$23,0),            MATCH($A23,$B$1:$W$1,0))</formula>
    </cfRule>
  </conditionalFormatting>
  <conditionalFormatting sqref="O23">
    <cfRule type="cellIs" dxfId="9" priority="7" operator="equal">
      <formula>"Unsorted"</formula>
    </cfRule>
    <cfRule type="expression" dxfId="8" priority="8">
      <formula>O23&lt;&gt;INDEX($B$2:$W$23,            MATCH(#REF!,$A$2:$A$23,0),            MATCH($A23,$B$1:$W$1,0))</formula>
    </cfRule>
  </conditionalFormatting>
  <conditionalFormatting sqref="Q23">
    <cfRule type="cellIs" dxfId="7" priority="5" operator="equal">
      <formula>"Unsorted"</formula>
    </cfRule>
    <cfRule type="expression" dxfId="6" priority="6">
      <formula>Q23&lt;&gt;INDEX($B$2:$W$23,            MATCH(#REF!,$A$2:$A$23,0),            MATCH($A23,$B$1:$W$1,0))</formula>
    </cfRule>
  </conditionalFormatting>
  <conditionalFormatting sqref="R23">
    <cfRule type="cellIs" dxfId="5" priority="3" operator="equal">
      <formula>"Unsorted"</formula>
    </cfRule>
    <cfRule type="expression" dxfId="4" priority="4">
      <formula>R23&lt;&gt;INDEX($B$2:$W$23,            MATCH(#REF!,$A$2:$A$23,0),            MATCH($A23,$B$1:$W$1,0))</formula>
    </cfRule>
  </conditionalFormatting>
  <conditionalFormatting sqref="T23">
    <cfRule type="cellIs" dxfId="3" priority="1" operator="equal">
      <formula>"Unsorted"</formula>
    </cfRule>
    <cfRule type="expression" dxfId="2" priority="2">
      <formula>T23&lt;&gt;INDEX($B$2:$W$23,            MATCH(#REF!,$A$2:$A$23,0),            MATCH($A23,$B$1:$W$1,0))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698CB2A-4045-4279-B7BA-31BC84B63A65}">
          <x14:formula1>
            <xm:f>'SULIMA ids'!$A$1:$A$21</xm:f>
          </x14:formula1>
          <xm:sqref>B2:W23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7CA77-619E-44E6-9E8E-FD2B821EC1B8}">
  <dimension ref="A1:B21"/>
  <sheetViews>
    <sheetView workbookViewId="0">
      <selection activeCell="A2" sqref="A2"/>
    </sheetView>
  </sheetViews>
  <sheetFormatPr defaultRowHeight="15" x14ac:dyDescent="0.25"/>
  <cols>
    <col min="1" max="1" width="37.140625" style="1" customWidth="1"/>
    <col min="2" max="2" width="45" style="1" bestFit="1" customWidth="1"/>
    <col min="3" max="16384" width="9.140625" style="1"/>
  </cols>
  <sheetData>
    <row r="1" spans="1:2" x14ac:dyDescent="0.25">
      <c r="A1" s="6" t="s">
        <v>31</v>
      </c>
      <c r="B1" s="6" t="s">
        <v>129</v>
      </c>
    </row>
    <row r="2" spans="1:2" x14ac:dyDescent="0.25">
      <c r="A2" s="6" t="s">
        <v>8</v>
      </c>
      <c r="B2" s="6" t="s">
        <v>127</v>
      </c>
    </row>
    <row r="3" spans="1:2" x14ac:dyDescent="0.25">
      <c r="A3" s="6" t="s">
        <v>70</v>
      </c>
      <c r="B3" s="6" t="s">
        <v>126</v>
      </c>
    </row>
    <row r="4" spans="1:2" x14ac:dyDescent="0.25">
      <c r="A4" s="6" t="s">
        <v>71</v>
      </c>
      <c r="B4" s="6" t="s">
        <v>128</v>
      </c>
    </row>
    <row r="5" spans="1:2" x14ac:dyDescent="0.25">
      <c r="A5" s="6" t="s">
        <v>73</v>
      </c>
      <c r="B5" s="6" t="s">
        <v>125</v>
      </c>
    </row>
    <row r="6" spans="1:2" x14ac:dyDescent="0.25">
      <c r="A6" s="6" t="s">
        <v>74</v>
      </c>
      <c r="B6" s="6" t="s">
        <v>130</v>
      </c>
    </row>
    <row r="7" spans="1:2" x14ac:dyDescent="0.25">
      <c r="A7" s="6" t="s">
        <v>116</v>
      </c>
      <c r="B7" s="6" t="s">
        <v>117</v>
      </c>
    </row>
    <row r="8" spans="1:2" x14ac:dyDescent="0.25">
      <c r="A8" s="6" t="s">
        <v>43</v>
      </c>
      <c r="B8" s="6" t="s">
        <v>118</v>
      </c>
    </row>
    <row r="9" spans="1:2" x14ac:dyDescent="0.25">
      <c r="A9" s="6" t="s">
        <v>113</v>
      </c>
      <c r="B9" s="6" t="s">
        <v>119</v>
      </c>
    </row>
    <row r="10" spans="1:2" x14ac:dyDescent="0.25">
      <c r="A10" s="6" t="s">
        <v>43</v>
      </c>
      <c r="B10" s="6" t="s">
        <v>120</v>
      </c>
    </row>
    <row r="11" spans="1:2" x14ac:dyDescent="0.25">
      <c r="A11" s="6" t="s">
        <v>114</v>
      </c>
      <c r="B11" s="6" t="s">
        <v>121</v>
      </c>
    </row>
    <row r="12" spans="1:2" x14ac:dyDescent="0.25">
      <c r="A12" s="6" t="s">
        <v>43</v>
      </c>
      <c r="B12" s="6" t="s">
        <v>122</v>
      </c>
    </row>
    <row r="13" spans="1:2" x14ac:dyDescent="0.25">
      <c r="A13" s="6" t="s">
        <v>115</v>
      </c>
      <c r="B13" s="6" t="s">
        <v>123</v>
      </c>
    </row>
    <row r="14" spans="1:2" x14ac:dyDescent="0.25">
      <c r="A14" s="6" t="s">
        <v>43</v>
      </c>
      <c r="B14" s="6" t="s">
        <v>124</v>
      </c>
    </row>
    <row r="15" spans="1:2" x14ac:dyDescent="0.25">
      <c r="A15" s="6" t="s">
        <v>75</v>
      </c>
      <c r="B15" s="6" t="s">
        <v>131</v>
      </c>
    </row>
    <row r="16" spans="1:2" x14ac:dyDescent="0.25">
      <c r="A16" s="6" t="s">
        <v>79</v>
      </c>
      <c r="B16" s="6" t="s">
        <v>132</v>
      </c>
    </row>
    <row r="17" spans="1:2" x14ac:dyDescent="0.25">
      <c r="A17" s="6" t="s">
        <v>80</v>
      </c>
      <c r="B17" s="6" t="s">
        <v>133</v>
      </c>
    </row>
    <row r="18" spans="1:2" x14ac:dyDescent="0.25">
      <c r="A18" s="6" t="s">
        <v>77</v>
      </c>
      <c r="B18" s="6" t="s">
        <v>134</v>
      </c>
    </row>
    <row r="19" spans="1:2" x14ac:dyDescent="0.25">
      <c r="A19" s="6" t="s">
        <v>57</v>
      </c>
      <c r="B19" s="6" t="s">
        <v>135</v>
      </c>
    </row>
    <row r="20" spans="1:2" x14ac:dyDescent="0.25">
      <c r="A20" s="6" t="s">
        <v>5</v>
      </c>
      <c r="B20" s="6" t="s">
        <v>136</v>
      </c>
    </row>
    <row r="21" spans="1:2" x14ac:dyDescent="0.25">
      <c r="A21" s="6" t="s">
        <v>60</v>
      </c>
      <c r="B21" s="6" t="s">
        <v>137</v>
      </c>
    </row>
  </sheetData>
  <sortState xmlns:xlrd2="http://schemas.microsoft.com/office/spreadsheetml/2017/richdata2" ref="A1:B6">
    <sortCondition ref="A1:A6"/>
  </sortState>
  <conditionalFormatting sqref="A1:B34">
    <cfRule type="expression" dxfId="44" priority="3">
      <formula>LEFT($A1,4)="– – "</formula>
    </cfRule>
    <cfRule type="expression" dxfId="43" priority="4">
      <formula>LEFT($A1,2)="– 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BD1E0-CCD4-4ED2-A4B9-B5F717714D9F}">
  <dimension ref="A1:W25"/>
  <sheetViews>
    <sheetView tabSelected="1" workbookViewId="0">
      <pane xSplit="1" ySplit="1" topLeftCell="B2" activePane="bottomRight" state="frozen"/>
      <selection activeCell="C6" sqref="C6"/>
      <selection pane="topRight" activeCell="C6" sqref="C6"/>
      <selection pane="bottomLeft" activeCell="C6" sqref="C6"/>
      <selection pane="bottomRight" activeCell="B2" sqref="B2:W23"/>
    </sheetView>
  </sheetViews>
  <sheetFormatPr defaultColWidth="14.7109375" defaultRowHeight="15" x14ac:dyDescent="0.25"/>
  <cols>
    <col min="1" max="1" width="21.42578125" style="1" bestFit="1" customWidth="1"/>
    <col min="2" max="18" width="15.5703125" style="1" customWidth="1"/>
    <col min="19" max="20" width="14.7109375" style="1"/>
    <col min="21" max="22" width="14.7109375" style="5"/>
    <col min="23" max="16384" width="14.7109375" style="1"/>
  </cols>
  <sheetData>
    <row r="1" spans="1:23" x14ac:dyDescent="0.25">
      <c r="A1" s="2" t="s">
        <v>142</v>
      </c>
      <c r="B1" s="3" t="str">
        <f>SULIMA!B1</f>
        <v>All-in-the-Soup</v>
      </c>
      <c r="C1" s="3" t="str">
        <f>SULIMA!C1</f>
        <v>Arms-Filled-with-Bittersweet</v>
      </c>
      <c r="D1" s="3" t="str">
        <f>SULIMA!D1</f>
        <v>Tributaries</v>
      </c>
      <c r="E1" s="3" t="str">
        <f>SULIMA!E1</f>
        <v>Words-That-Dance</v>
      </c>
      <c r="F1" s="3" t="str">
        <f>SULIMA!F1</f>
        <v>Source</v>
      </c>
      <c r="G1" s="3" t="str">
        <f>SULIMA!G1</f>
        <v>Asset</v>
      </c>
      <c r="H1" s="3" t="str">
        <f>SULIMA!H1</f>
        <v>Copy</v>
      </c>
      <c r="I1" s="3" t="str">
        <f>SULIMA!I1</f>
        <v>Design</v>
      </c>
      <c r="J1" s="3" t="str">
        <f>SULIMA!J1</f>
        <v>Marketing</v>
      </c>
      <c r="K1" s="3" t="str">
        <f>SULIMA!K1</f>
        <v>Newsletter</v>
      </c>
      <c r="L1" s="3" t="str">
        <f>SULIMA!L1</f>
        <v>Inspo</v>
      </c>
      <c r="M1" s="3" t="str">
        <f>SULIMA!M1</f>
        <v>Admin</v>
      </c>
      <c r="N1" s="3" t="str">
        <f>SULIMA!N1</f>
        <v>Cover</v>
      </c>
      <c r="O1" s="3" t="str">
        <f>SULIMA!O1</f>
        <v>Info</v>
      </c>
      <c r="P1" s="3" t="str">
        <f>SULIMA!P1</f>
        <v>Backup</v>
      </c>
      <c r="Q1" s="3" t="str">
        <f>SULIMA!Q1</f>
        <v>Headshot</v>
      </c>
      <c r="R1" s="3" t="str">
        <f>SULIMA!R1</f>
        <v>Interior</v>
      </c>
      <c r="S1" s="3" t="str">
        <f>SULIMA!S1</f>
        <v>OLD</v>
      </c>
      <c r="T1" s="3" t="str">
        <f>SULIMA!T1</f>
        <v>Video</v>
      </c>
      <c r="U1" s="3" t="str">
        <f>SULIMA!U1</f>
        <v>PSD</v>
      </c>
      <c r="V1" s="3" t="str">
        <f>SULIMA!V1</f>
        <v>Featured-image</v>
      </c>
      <c r="W1" s="3" t="str">
        <f>SULIMA!W1</f>
        <v>Social-image</v>
      </c>
    </row>
    <row r="2" spans="1:23" x14ac:dyDescent="0.25">
      <c r="A2" s="3" t="str">
        <f>SULIMA!A2</f>
        <v>All-in-the-Soup</v>
      </c>
      <c r="B2" s="4" t="str">
        <f>IF(SULIMA!B2="","",_xlfn.XLOOKUP(SULIMA!B2,'SULIMA ids'!$A$1:$A$21,'SULIMA ids'!$B$1:$B$21,""))</f>
        <v>1wXYsN253TZTVcBPueU0Ayy595L3WR3SH</v>
      </c>
      <c r="C2" s="4" t="str">
        <f>IF(SULIMA!C2="","",_xlfn.XLOOKUP(SULIMA!C2,'SULIMA ids'!$A$1:$A$21,'SULIMA ids'!$B$1:$B$21,""))</f>
        <v>1R0aAzfFYL8pB08eBBG09IYcExjLDE6S1</v>
      </c>
      <c r="D2" s="4" t="str">
        <f>IF(SULIMA!D2="","",_xlfn.XLOOKUP(SULIMA!D2,'SULIMA ids'!$A$1:$A$21,'SULIMA ids'!$B$1:$B$21,""))</f>
        <v>1R0aAzfFYL8pB08eBBG09IYcExjLDE6S1</v>
      </c>
      <c r="E2" s="4" t="str">
        <f>IF(SULIMA!E2="","",_xlfn.XLOOKUP(SULIMA!E2,'SULIMA ids'!$A$1:$A$21,'SULIMA ids'!$B$1:$B$21,""))</f>
        <v>1R0aAzfFYL8pB08eBBG09IYcExjLDE6S1</v>
      </c>
      <c r="F2" s="4" t="str">
        <f>IF(SULIMA!F2="","",_xlfn.XLOOKUP(SULIMA!F2,'SULIMA ids'!$A$1:$A$21,'SULIMA ids'!$B$1:$B$21,""))</f>
        <v>1oa1DjYEEwdm9wJQW8XDZUDk4jrqlG5QB</v>
      </c>
      <c r="G2" s="4" t="str">
        <f>IF(SULIMA!G2="","",_xlfn.XLOOKUP(SULIMA!G2,'SULIMA ids'!$A$1:$A$21,'SULIMA ids'!$B$1:$B$21,""))</f>
        <v>17eP1Ps9zdVPnVgQdYS3YuaFMui4sbtPi</v>
      </c>
      <c r="H2" s="4" t="str">
        <f>IF(SULIMA!H2="","",_xlfn.XLOOKUP(SULIMA!H2,'SULIMA ids'!$A$1:$A$21,'SULIMA ids'!$B$1:$B$21,""))</f>
        <v>1jibhxXBXsZUgsTYiudGBCjD7cdAILiiA</v>
      </c>
      <c r="I2" s="4" t="str">
        <f>IF(SULIMA!I2="","",_xlfn.XLOOKUP(SULIMA!I2,'SULIMA ids'!$A$1:$A$21,'SULIMA ids'!$B$1:$B$21,""))</f>
        <v>1Wxi1Qx2VmUJJRXaACsUpIwCwLL-MeLSh</v>
      </c>
      <c r="J2" s="4" t="str">
        <f>IF(SULIMA!J2="","",_xlfn.XLOOKUP(SULIMA!J2,'SULIMA ids'!$A$1:$A$21,'SULIMA ids'!$B$1:$B$21,""))</f>
        <v>1D4BOx2y0gJ6IaGCUqBoJ6lOROpoXeUL7</v>
      </c>
      <c r="K2" s="4" t="str">
        <f>IF(SULIMA!K2="","",_xlfn.XLOOKUP(SULIMA!K2,'SULIMA ids'!$A$1:$A$21,'SULIMA ids'!$B$1:$B$21,""))</f>
        <v>1D4BOx2y0gJ6IaGCUqBoJ6lOROpoXeUL7</v>
      </c>
      <c r="L2" s="4" t="str">
        <f>IF(SULIMA!L2="","",_xlfn.XLOOKUP(SULIMA!L2,'SULIMA ids'!$A$1:$A$21,'SULIMA ids'!$B$1:$B$21,""))</f>
        <v>1oa1DjYEEwdm9wJQW8XDZUDk4jrqlG5QB</v>
      </c>
      <c r="M2" s="4" t="str">
        <f>IF(SULIMA!M2="","",_xlfn.XLOOKUP(SULIMA!M2,'SULIMA ids'!$A$1:$A$21,'SULIMA ids'!$B$1:$B$21,""))</f>
        <v>1Wwn62wgXvWL4xPfCsCRGLl2nGC6yMHnn</v>
      </c>
      <c r="N2" s="4" t="str">
        <f>IF(SULIMA!N2="","",_xlfn.XLOOKUP(SULIMA!N2,'SULIMA ids'!$A$1:$A$21,'SULIMA ids'!$B$1:$B$21,""))</f>
        <v>1wXYsN253TZTVcBPueU0Ayy595L3WR3SH</v>
      </c>
      <c r="O2" s="4" t="str">
        <f>IF(SULIMA!O2="","",_xlfn.XLOOKUP(SULIMA!O2,'SULIMA ids'!$A$1:$A$21,'SULIMA ids'!$B$1:$B$21,""))</f>
        <v>1wXYsN253TZTVcBPueU0Ayy595L3WR3SH</v>
      </c>
      <c r="P2" s="4" t="str">
        <f>IF(SULIMA!P2="","",_xlfn.XLOOKUP(SULIMA!P2,'SULIMA ids'!$A$1:$A$21,'SULIMA ids'!$B$1:$B$21,""))</f>
        <v>1ASTrMyT8BoZ1R3JFTD4faPJqC2wAwo-Z</v>
      </c>
      <c r="Q2" s="4" t="str">
        <f>IF(SULIMA!Q2="","",_xlfn.XLOOKUP(SULIMA!Q2,'SULIMA ids'!$A$1:$A$21,'SULIMA ids'!$B$1:$B$21,""))</f>
        <v>1D4BOx2y0gJ6IaGCUqBoJ6lOROpoXeUL7</v>
      </c>
      <c r="R2" s="4" t="str">
        <f>IF(SULIMA!R2="","",_xlfn.XLOOKUP(SULIMA!R2,'SULIMA ids'!$A$1:$A$21,'SULIMA ids'!$B$1:$B$21,""))</f>
        <v>1wXYsN253TZTVcBPueU0Ayy595L3WR3SH</v>
      </c>
      <c r="S2" s="4" t="str">
        <f>IF(SULIMA!S2="","",_xlfn.XLOOKUP(SULIMA!S2,'SULIMA ids'!$A$1:$A$21,'SULIMA ids'!$B$1:$B$21,""))</f>
        <v>1ASTrMyT8BoZ1R3JFTD4faPJqC2wAwo-Z</v>
      </c>
      <c r="T2" s="4" t="str">
        <f>IF(SULIMA!T2="","",_xlfn.XLOOKUP(SULIMA!T2,'SULIMA ids'!$A$1:$A$21,'SULIMA ids'!$B$1:$B$21,""))</f>
        <v>1wXYsN253TZTVcBPueU0Ayy595L3WR3SH</v>
      </c>
      <c r="U2" s="4" t="str">
        <f>IF(SULIMA!U2="","",_xlfn.XLOOKUP(SULIMA!U2,'SULIMA ids'!$A$1:$A$21,'SULIMA ids'!$B$1:$B$21,""))</f>
        <v>1D4VHUORJN08hK49qS1ZCEZ0CwV7aMR_h</v>
      </c>
      <c r="V2" s="4" t="str">
        <f>IF(SULIMA!V2="","",_xlfn.XLOOKUP(SULIMA!V2,'SULIMA ids'!$A$1:$A$21,'SULIMA ids'!$B$1:$B$21,""))</f>
        <v>1ugMOJqdYEXN530v90JNVR1Jm4CtWtFz5</v>
      </c>
      <c r="W2" s="4" t="str">
        <f>IF(SULIMA!W2="","",_xlfn.XLOOKUP(SULIMA!W2,'SULIMA ids'!$A$1:$A$21,'SULIMA ids'!$B$1:$B$21,""))</f>
        <v>1NT5GSrqVKJwtOsn6fTB5iZOyxdGqUWbh</v>
      </c>
    </row>
    <row r="3" spans="1:23" x14ac:dyDescent="0.25">
      <c r="A3" s="3" t="str">
        <f>SULIMA!A3</f>
        <v>Arms-Filled-with-Bittersweet</v>
      </c>
      <c r="B3" s="4" t="str">
        <f>IF(SULIMA!B3="","",_xlfn.XLOOKUP(SULIMA!B3,'SULIMA ids'!$A$1:$A$21,'SULIMA ids'!$B$1:$B$21,""))</f>
        <v>1R0aAzfFYL8pB08eBBG09IYcExjLDE6S1</v>
      </c>
      <c r="C3" s="4" t="str">
        <f>IF(SULIMA!C3="","",_xlfn.XLOOKUP(SULIMA!C3,'SULIMA ids'!$A$1:$A$21,'SULIMA ids'!$B$1:$B$21,""))</f>
        <v>1z-sFkqO7SWcgnPRxaJAk1jziLahxBLWo</v>
      </c>
      <c r="D3" s="4" t="str">
        <f>IF(SULIMA!D3="","",_xlfn.XLOOKUP(SULIMA!D3,'SULIMA ids'!$A$1:$A$21,'SULIMA ids'!$B$1:$B$21,""))</f>
        <v>1R0aAzfFYL8pB08eBBG09IYcExjLDE6S1</v>
      </c>
      <c r="E3" s="4" t="str">
        <f>IF(SULIMA!E3="","",_xlfn.XLOOKUP(SULIMA!E3,'SULIMA ids'!$A$1:$A$21,'SULIMA ids'!$B$1:$B$21,""))</f>
        <v>1R0aAzfFYL8pB08eBBG09IYcExjLDE6S1</v>
      </c>
      <c r="F3" s="4" t="str">
        <f>IF(SULIMA!F3="","",_xlfn.XLOOKUP(SULIMA!F3,'SULIMA ids'!$A$1:$A$21,'SULIMA ids'!$B$1:$B$21,""))</f>
        <v>1oa1DjYEEwdm9wJQW8XDZUDk4jrqlG5QB</v>
      </c>
      <c r="G3" s="4" t="str">
        <f>IF(SULIMA!G3="","",_xlfn.XLOOKUP(SULIMA!G3,'SULIMA ids'!$A$1:$A$21,'SULIMA ids'!$B$1:$B$21,""))</f>
        <v>17eP1Ps9zdVPnVgQdYS3YuaFMui4sbtPi</v>
      </c>
      <c r="H3" s="4" t="str">
        <f>IF(SULIMA!H3="","",_xlfn.XLOOKUP(SULIMA!H3,'SULIMA ids'!$A$1:$A$21,'SULIMA ids'!$B$1:$B$21,""))</f>
        <v>1jibhxXBXsZUgsTYiudGBCjD7cdAILiiA</v>
      </c>
      <c r="I3" s="4" t="str">
        <f>IF(SULIMA!I3="","",_xlfn.XLOOKUP(SULIMA!I3,'SULIMA ids'!$A$1:$A$21,'SULIMA ids'!$B$1:$B$21,""))</f>
        <v>1Wxi1Qx2VmUJJRXaACsUpIwCwLL-MeLSh</v>
      </c>
      <c r="J3" s="4" t="str">
        <f>IF(SULIMA!J3="","",_xlfn.XLOOKUP(SULIMA!J3,'SULIMA ids'!$A$1:$A$21,'SULIMA ids'!$B$1:$B$21,""))</f>
        <v>1D4BOx2y0gJ6IaGCUqBoJ6lOROpoXeUL7</v>
      </c>
      <c r="K3" s="4" t="str">
        <f>IF(SULIMA!K3="","",_xlfn.XLOOKUP(SULIMA!K3,'SULIMA ids'!$A$1:$A$21,'SULIMA ids'!$B$1:$B$21,""))</f>
        <v>1D4BOx2y0gJ6IaGCUqBoJ6lOROpoXeUL7</v>
      </c>
      <c r="L3" s="4" t="str">
        <f>IF(SULIMA!L3="","",_xlfn.XLOOKUP(SULIMA!L3,'SULIMA ids'!$A$1:$A$21,'SULIMA ids'!$B$1:$B$21,""))</f>
        <v>1oa1DjYEEwdm9wJQW8XDZUDk4jrqlG5QB</v>
      </c>
      <c r="M3" s="4" t="str">
        <f>IF(SULIMA!M3="","",_xlfn.XLOOKUP(SULIMA!M3,'SULIMA ids'!$A$1:$A$21,'SULIMA ids'!$B$1:$B$21,""))</f>
        <v>1Wwn62wgXvWL4xPfCsCRGLl2nGC6yMHnn</v>
      </c>
      <c r="N3" s="4" t="str">
        <f>IF(SULIMA!N3="","",_xlfn.XLOOKUP(SULIMA!N3,'SULIMA ids'!$A$1:$A$21,'SULIMA ids'!$B$1:$B$21,""))</f>
        <v>1z-sFkqO7SWcgnPRxaJAk1jziLahxBLWo</v>
      </c>
      <c r="O3" s="4" t="str">
        <f>IF(SULIMA!O3="","",_xlfn.XLOOKUP(SULIMA!O3,'SULIMA ids'!$A$1:$A$21,'SULIMA ids'!$B$1:$B$21,""))</f>
        <v>1z-sFkqO7SWcgnPRxaJAk1jziLahxBLWo</v>
      </c>
      <c r="P3" s="4" t="str">
        <f>IF(SULIMA!P3="","",_xlfn.XLOOKUP(SULIMA!P3,'SULIMA ids'!$A$1:$A$21,'SULIMA ids'!$B$1:$B$21,""))</f>
        <v>1ASTrMyT8BoZ1R3JFTD4faPJqC2wAwo-Z</v>
      </c>
      <c r="Q3" s="4" t="str">
        <f>IF(SULIMA!Q3="","",_xlfn.XLOOKUP(SULIMA!Q3,'SULIMA ids'!$A$1:$A$21,'SULIMA ids'!$B$1:$B$21,""))</f>
        <v>1D4BOx2y0gJ6IaGCUqBoJ6lOROpoXeUL7</v>
      </c>
      <c r="R3" s="4" t="str">
        <f>IF(SULIMA!R3="","",_xlfn.XLOOKUP(SULIMA!R3,'SULIMA ids'!$A$1:$A$21,'SULIMA ids'!$B$1:$B$21,""))</f>
        <v>1z-sFkqO7SWcgnPRxaJAk1jziLahxBLWo</v>
      </c>
      <c r="S3" s="4" t="str">
        <f>IF(SULIMA!S3="","",_xlfn.XLOOKUP(SULIMA!S3,'SULIMA ids'!$A$1:$A$21,'SULIMA ids'!$B$1:$B$21,""))</f>
        <v>1ASTrMyT8BoZ1R3JFTD4faPJqC2wAwo-Z</v>
      </c>
      <c r="T3" s="4" t="str">
        <f>IF(SULIMA!T3="","",_xlfn.XLOOKUP(SULIMA!T3,'SULIMA ids'!$A$1:$A$21,'SULIMA ids'!$B$1:$B$21,""))</f>
        <v>1z-sFkqO7SWcgnPRxaJAk1jziLahxBLWo</v>
      </c>
      <c r="U3" s="4" t="str">
        <f>IF(SULIMA!U3="","",_xlfn.XLOOKUP(SULIMA!U3,'SULIMA ids'!$A$1:$A$21,'SULIMA ids'!$B$1:$B$21,""))</f>
        <v>1D4VHUORJN08hK49qS1ZCEZ0CwV7aMR_h</v>
      </c>
      <c r="V3" s="4" t="str">
        <f>IF(SULIMA!V3="","",_xlfn.XLOOKUP(SULIMA!V3,'SULIMA ids'!$A$1:$A$21,'SULIMA ids'!$B$1:$B$21,""))</f>
        <v>1ugMOJqdYEXN530v90JNVR1Jm4CtWtFz5</v>
      </c>
      <c r="W3" s="4" t="str">
        <f>IF(SULIMA!W3="","",_xlfn.XLOOKUP(SULIMA!W3,'SULIMA ids'!$A$1:$A$21,'SULIMA ids'!$B$1:$B$21,""))</f>
        <v>1NT5GSrqVKJwtOsn6fTB5iZOyxdGqUWbh</v>
      </c>
    </row>
    <row r="4" spans="1:23" x14ac:dyDescent="0.25">
      <c r="A4" s="3" t="str">
        <f>SULIMA!A4</f>
        <v>Tributaries</v>
      </c>
      <c r="B4" s="4" t="str">
        <f>IF(SULIMA!B4="","",_xlfn.XLOOKUP(SULIMA!B4,'SULIMA ids'!$A$1:$A$21,'SULIMA ids'!$B$1:$B$21,""))</f>
        <v>1R0aAzfFYL8pB08eBBG09IYcExjLDE6S1</v>
      </c>
      <c r="C4" s="4" t="str">
        <f>IF(SULIMA!C4="","",_xlfn.XLOOKUP(SULIMA!C4,'SULIMA ids'!$A$1:$A$21,'SULIMA ids'!$B$1:$B$21,""))</f>
        <v>1R0aAzfFYL8pB08eBBG09IYcExjLDE6S1</v>
      </c>
      <c r="D4" s="4" t="str">
        <f>IF(SULIMA!D4="","",_xlfn.XLOOKUP(SULIMA!D4,'SULIMA ids'!$A$1:$A$21,'SULIMA ids'!$B$1:$B$21,""))</f>
        <v>1yF_yKsQkQwSwIIPflP8B1nITKy_4MrH1</v>
      </c>
      <c r="E4" s="4" t="str">
        <f>IF(SULIMA!E4="","",_xlfn.XLOOKUP(SULIMA!E4,'SULIMA ids'!$A$1:$A$21,'SULIMA ids'!$B$1:$B$21,""))</f>
        <v>1R0aAzfFYL8pB08eBBG09IYcExjLDE6S1</v>
      </c>
      <c r="F4" s="4" t="str">
        <f>IF(SULIMA!F4="","",_xlfn.XLOOKUP(SULIMA!F4,'SULIMA ids'!$A$1:$A$21,'SULIMA ids'!$B$1:$B$21,""))</f>
        <v>1oa1DjYEEwdm9wJQW8XDZUDk4jrqlG5QB</v>
      </c>
      <c r="G4" s="4" t="str">
        <f>IF(SULIMA!G4="","",_xlfn.XLOOKUP(SULIMA!G4,'SULIMA ids'!$A$1:$A$21,'SULIMA ids'!$B$1:$B$21,""))</f>
        <v>17eP1Ps9zdVPnVgQdYS3YuaFMui4sbtPi</v>
      </c>
      <c r="H4" s="4" t="str">
        <f>IF(SULIMA!H4="","",_xlfn.XLOOKUP(SULIMA!H4,'SULIMA ids'!$A$1:$A$21,'SULIMA ids'!$B$1:$B$21,""))</f>
        <v>1jibhxXBXsZUgsTYiudGBCjD7cdAILiiA</v>
      </c>
      <c r="I4" s="4" t="str">
        <f>IF(SULIMA!I4="","",_xlfn.XLOOKUP(SULIMA!I4,'SULIMA ids'!$A$1:$A$21,'SULIMA ids'!$B$1:$B$21,""))</f>
        <v>1Wxi1Qx2VmUJJRXaACsUpIwCwLL-MeLSh</v>
      </c>
      <c r="J4" s="4" t="str">
        <f>IF(SULIMA!J4="","",_xlfn.XLOOKUP(SULIMA!J4,'SULIMA ids'!$A$1:$A$21,'SULIMA ids'!$B$1:$B$21,""))</f>
        <v>1D4BOx2y0gJ6IaGCUqBoJ6lOROpoXeUL7</v>
      </c>
      <c r="K4" s="4" t="str">
        <f>IF(SULIMA!K4="","",_xlfn.XLOOKUP(SULIMA!K4,'SULIMA ids'!$A$1:$A$21,'SULIMA ids'!$B$1:$B$21,""))</f>
        <v>1D4BOx2y0gJ6IaGCUqBoJ6lOROpoXeUL7</v>
      </c>
      <c r="L4" s="4" t="str">
        <f>IF(SULIMA!L4="","",_xlfn.XLOOKUP(SULIMA!L4,'SULIMA ids'!$A$1:$A$21,'SULIMA ids'!$B$1:$B$21,""))</f>
        <v>1oa1DjYEEwdm9wJQW8XDZUDk4jrqlG5QB</v>
      </c>
      <c r="M4" s="4" t="str">
        <f>IF(SULIMA!M4="","",_xlfn.XLOOKUP(SULIMA!M4,'SULIMA ids'!$A$1:$A$21,'SULIMA ids'!$B$1:$B$21,""))</f>
        <v>1Wwn62wgXvWL4xPfCsCRGLl2nGC6yMHnn</v>
      </c>
      <c r="N4" s="4" t="str">
        <f>IF(SULIMA!N4="","",_xlfn.XLOOKUP(SULIMA!N4,'SULIMA ids'!$A$1:$A$21,'SULIMA ids'!$B$1:$B$21,""))</f>
        <v>1yF_yKsQkQwSwIIPflP8B1nITKy_4MrH1</v>
      </c>
      <c r="O4" s="4" t="str">
        <f>IF(SULIMA!O4="","",_xlfn.XLOOKUP(SULIMA!O4,'SULIMA ids'!$A$1:$A$21,'SULIMA ids'!$B$1:$B$21,""))</f>
        <v>1yF_yKsQkQwSwIIPflP8B1nITKy_4MrH1</v>
      </c>
      <c r="P4" s="4" t="str">
        <f>IF(SULIMA!P4="","",_xlfn.XLOOKUP(SULIMA!P4,'SULIMA ids'!$A$1:$A$21,'SULIMA ids'!$B$1:$B$21,""))</f>
        <v>1ASTrMyT8BoZ1R3JFTD4faPJqC2wAwo-Z</v>
      </c>
      <c r="Q4" s="4" t="str">
        <f>IF(SULIMA!Q4="","",_xlfn.XLOOKUP(SULIMA!Q4,'SULIMA ids'!$A$1:$A$21,'SULIMA ids'!$B$1:$B$21,""))</f>
        <v>1D4BOx2y0gJ6IaGCUqBoJ6lOROpoXeUL7</v>
      </c>
      <c r="R4" s="4" t="str">
        <f>IF(SULIMA!R4="","",_xlfn.XLOOKUP(SULIMA!R4,'SULIMA ids'!$A$1:$A$21,'SULIMA ids'!$B$1:$B$21,""))</f>
        <v>1yF_yKsQkQwSwIIPflP8B1nITKy_4MrH1</v>
      </c>
      <c r="S4" s="4" t="str">
        <f>IF(SULIMA!S4="","",_xlfn.XLOOKUP(SULIMA!S4,'SULIMA ids'!$A$1:$A$21,'SULIMA ids'!$B$1:$B$21,""))</f>
        <v>1ASTrMyT8BoZ1R3JFTD4faPJqC2wAwo-Z</v>
      </c>
      <c r="T4" s="4" t="str">
        <f>IF(SULIMA!T4="","",_xlfn.XLOOKUP(SULIMA!T4,'SULIMA ids'!$A$1:$A$21,'SULIMA ids'!$B$1:$B$21,""))</f>
        <v>1yF_yKsQkQwSwIIPflP8B1nITKy_4MrH1</v>
      </c>
      <c r="U4" s="4" t="str">
        <f>IF(SULIMA!U4="","",_xlfn.XLOOKUP(SULIMA!U4,'SULIMA ids'!$A$1:$A$21,'SULIMA ids'!$B$1:$B$21,""))</f>
        <v>1D4VHUORJN08hK49qS1ZCEZ0CwV7aMR_h</v>
      </c>
      <c r="V4" s="4" t="str">
        <f>IF(SULIMA!V4="","",_xlfn.XLOOKUP(SULIMA!V4,'SULIMA ids'!$A$1:$A$21,'SULIMA ids'!$B$1:$B$21,""))</f>
        <v>1ugMOJqdYEXN530v90JNVR1Jm4CtWtFz5</v>
      </c>
      <c r="W4" s="4" t="str">
        <f>IF(SULIMA!W4="","",_xlfn.XLOOKUP(SULIMA!W4,'SULIMA ids'!$A$1:$A$21,'SULIMA ids'!$B$1:$B$21,""))</f>
        <v>1NT5GSrqVKJwtOsn6fTB5iZOyxdGqUWbh</v>
      </c>
    </row>
    <row r="5" spans="1:23" x14ac:dyDescent="0.25">
      <c r="A5" s="3" t="str">
        <f>SULIMA!A5</f>
        <v>Words-That-Dance</v>
      </c>
      <c r="B5" s="4" t="str">
        <f>IF(SULIMA!B5="","",_xlfn.XLOOKUP(SULIMA!B5,'SULIMA ids'!$A$1:$A$21,'SULIMA ids'!$B$1:$B$21,""))</f>
        <v>1R0aAzfFYL8pB08eBBG09IYcExjLDE6S1</v>
      </c>
      <c r="C5" s="4" t="str">
        <f>IF(SULIMA!C5="","",_xlfn.XLOOKUP(SULIMA!C5,'SULIMA ids'!$A$1:$A$21,'SULIMA ids'!$B$1:$B$21,""))</f>
        <v>1R0aAzfFYL8pB08eBBG09IYcExjLDE6S1</v>
      </c>
      <c r="D5" s="4" t="str">
        <f>IF(SULIMA!D5="","",_xlfn.XLOOKUP(SULIMA!D5,'SULIMA ids'!$A$1:$A$21,'SULIMA ids'!$B$1:$B$21,""))</f>
        <v>1R0aAzfFYL8pB08eBBG09IYcExjLDE6S1</v>
      </c>
      <c r="E5" s="4" t="str">
        <f>IF(SULIMA!E5="","",_xlfn.XLOOKUP(SULIMA!E5,'SULIMA ids'!$A$1:$A$21,'SULIMA ids'!$B$1:$B$21,""))</f>
        <v>1XVA06M6iqqw1tnHE74sTIg-4I-kQXmaC</v>
      </c>
      <c r="F5" s="4" t="str">
        <f>IF(SULIMA!F5="","",_xlfn.XLOOKUP(SULIMA!F5,'SULIMA ids'!$A$1:$A$21,'SULIMA ids'!$B$1:$B$21,""))</f>
        <v>1oa1DjYEEwdm9wJQW8XDZUDk4jrqlG5QB</v>
      </c>
      <c r="G5" s="4" t="str">
        <f>IF(SULIMA!G5="","",_xlfn.XLOOKUP(SULIMA!G5,'SULIMA ids'!$A$1:$A$21,'SULIMA ids'!$B$1:$B$21,""))</f>
        <v>17eP1Ps9zdVPnVgQdYS3YuaFMui4sbtPi</v>
      </c>
      <c r="H5" s="4" t="str">
        <f>IF(SULIMA!H5="","",_xlfn.XLOOKUP(SULIMA!H5,'SULIMA ids'!$A$1:$A$21,'SULIMA ids'!$B$1:$B$21,""))</f>
        <v>1jibhxXBXsZUgsTYiudGBCjD7cdAILiiA</v>
      </c>
      <c r="I5" s="4" t="str">
        <f>IF(SULIMA!I5="","",_xlfn.XLOOKUP(SULIMA!I5,'SULIMA ids'!$A$1:$A$21,'SULIMA ids'!$B$1:$B$21,""))</f>
        <v>1Wxi1Qx2VmUJJRXaACsUpIwCwLL-MeLSh</v>
      </c>
      <c r="J5" s="4" t="str">
        <f>IF(SULIMA!J5="","",_xlfn.XLOOKUP(SULIMA!J5,'SULIMA ids'!$A$1:$A$21,'SULIMA ids'!$B$1:$B$21,""))</f>
        <v>1D4BOx2y0gJ6IaGCUqBoJ6lOROpoXeUL7</v>
      </c>
      <c r="K5" s="4" t="str">
        <f>IF(SULIMA!K5="","",_xlfn.XLOOKUP(SULIMA!K5,'SULIMA ids'!$A$1:$A$21,'SULIMA ids'!$B$1:$B$21,""))</f>
        <v>1D4BOx2y0gJ6IaGCUqBoJ6lOROpoXeUL7</v>
      </c>
      <c r="L5" s="4" t="str">
        <f>IF(SULIMA!L5="","",_xlfn.XLOOKUP(SULIMA!L5,'SULIMA ids'!$A$1:$A$21,'SULIMA ids'!$B$1:$B$21,""))</f>
        <v>1oa1DjYEEwdm9wJQW8XDZUDk4jrqlG5QB</v>
      </c>
      <c r="M5" s="4" t="str">
        <f>IF(SULIMA!M5="","",_xlfn.XLOOKUP(SULIMA!M5,'SULIMA ids'!$A$1:$A$21,'SULIMA ids'!$B$1:$B$21,""))</f>
        <v>1Wwn62wgXvWL4xPfCsCRGLl2nGC6yMHnn</v>
      </c>
      <c r="N5" s="4" t="str">
        <f>IF(SULIMA!N5="","",_xlfn.XLOOKUP(SULIMA!N5,'SULIMA ids'!$A$1:$A$21,'SULIMA ids'!$B$1:$B$21,""))</f>
        <v>1XVA06M6iqqw1tnHE74sTIg-4I-kQXmaC</v>
      </c>
      <c r="O5" s="4" t="str">
        <f>IF(SULIMA!O5="","",_xlfn.XLOOKUP(SULIMA!O5,'SULIMA ids'!$A$1:$A$21,'SULIMA ids'!$B$1:$B$21,""))</f>
        <v>1XVA06M6iqqw1tnHE74sTIg-4I-kQXmaC</v>
      </c>
      <c r="P5" s="4" t="str">
        <f>IF(SULIMA!P5="","",_xlfn.XLOOKUP(SULIMA!P5,'SULIMA ids'!$A$1:$A$21,'SULIMA ids'!$B$1:$B$21,""))</f>
        <v>1ASTrMyT8BoZ1R3JFTD4faPJqC2wAwo-Z</v>
      </c>
      <c r="Q5" s="4" t="str">
        <f>IF(SULIMA!Q5="","",_xlfn.XLOOKUP(SULIMA!Q5,'SULIMA ids'!$A$1:$A$21,'SULIMA ids'!$B$1:$B$21,""))</f>
        <v>1D4BOx2y0gJ6IaGCUqBoJ6lOROpoXeUL7</v>
      </c>
      <c r="R5" s="4" t="str">
        <f>IF(SULIMA!R5="","",_xlfn.XLOOKUP(SULIMA!R5,'SULIMA ids'!$A$1:$A$21,'SULIMA ids'!$B$1:$B$21,""))</f>
        <v>1XVA06M6iqqw1tnHE74sTIg-4I-kQXmaC</v>
      </c>
      <c r="S5" s="4" t="str">
        <f>IF(SULIMA!S5="","",_xlfn.XLOOKUP(SULIMA!S5,'SULIMA ids'!$A$1:$A$21,'SULIMA ids'!$B$1:$B$21,""))</f>
        <v>1ASTrMyT8BoZ1R3JFTD4faPJqC2wAwo-Z</v>
      </c>
      <c r="T5" s="4" t="str">
        <f>IF(SULIMA!T5="","",_xlfn.XLOOKUP(SULIMA!T5,'SULIMA ids'!$A$1:$A$21,'SULIMA ids'!$B$1:$B$21,""))</f>
        <v>1XVA06M6iqqw1tnHE74sTIg-4I-kQXmaC</v>
      </c>
      <c r="U5" s="4" t="str">
        <f>IF(SULIMA!U5="","",_xlfn.XLOOKUP(SULIMA!U5,'SULIMA ids'!$A$1:$A$21,'SULIMA ids'!$B$1:$B$21,""))</f>
        <v>1D4VHUORJN08hK49qS1ZCEZ0CwV7aMR_h</v>
      </c>
      <c r="V5" s="4" t="str">
        <f>IF(SULIMA!V5="","",_xlfn.XLOOKUP(SULIMA!V5,'SULIMA ids'!$A$1:$A$21,'SULIMA ids'!$B$1:$B$21,""))</f>
        <v>1ugMOJqdYEXN530v90JNVR1Jm4CtWtFz5</v>
      </c>
      <c r="W5" s="4" t="str">
        <f>IF(SULIMA!W5="","",_xlfn.XLOOKUP(SULIMA!W5,'SULIMA ids'!$A$1:$A$21,'SULIMA ids'!$B$1:$B$21,""))</f>
        <v>1NT5GSrqVKJwtOsn6fTB5iZOyxdGqUWbh</v>
      </c>
    </row>
    <row r="6" spans="1:23" x14ac:dyDescent="0.25">
      <c r="A6" s="3" t="str">
        <f>SULIMA!A6</f>
        <v>Source</v>
      </c>
      <c r="B6" s="4" t="str">
        <f>IF(SULIMA!B6="","",_xlfn.XLOOKUP(SULIMA!B6,'SULIMA ids'!$A$1:$A$21,'SULIMA ids'!$B$1:$B$21,""))</f>
        <v>1oa1DjYEEwdm9wJQW8XDZUDk4jrqlG5QB</v>
      </c>
      <c r="C6" s="4" t="str">
        <f>IF(SULIMA!C6="","",_xlfn.XLOOKUP(SULIMA!C6,'SULIMA ids'!$A$1:$A$21,'SULIMA ids'!$B$1:$B$21,""))</f>
        <v>1oa1DjYEEwdm9wJQW8XDZUDk4jrqlG5QB</v>
      </c>
      <c r="D6" s="4" t="str">
        <f>IF(SULIMA!D6="","",_xlfn.XLOOKUP(SULIMA!D6,'SULIMA ids'!$A$1:$A$21,'SULIMA ids'!$B$1:$B$21,""))</f>
        <v>1oa1DjYEEwdm9wJQW8XDZUDk4jrqlG5QB</v>
      </c>
      <c r="E6" s="4" t="str">
        <f>IF(SULIMA!E6="","",_xlfn.XLOOKUP(SULIMA!E6,'SULIMA ids'!$A$1:$A$21,'SULIMA ids'!$B$1:$B$21,""))</f>
        <v>1oa1DjYEEwdm9wJQW8XDZUDk4jrqlG5QB</v>
      </c>
      <c r="F6" s="4" t="str">
        <f>IF(SULIMA!F6="","",_xlfn.XLOOKUP(SULIMA!F6,'SULIMA ids'!$A$1:$A$21,'SULIMA ids'!$B$1:$B$21,""))</f>
        <v>1oa1DjYEEwdm9wJQW8XDZUDk4jrqlG5QB</v>
      </c>
      <c r="G6" s="4" t="str">
        <f>IF(SULIMA!G6="","",_xlfn.XLOOKUP(SULIMA!G6,'SULIMA ids'!$A$1:$A$21,'SULIMA ids'!$B$1:$B$21,""))</f>
        <v>1oa1DjYEEwdm9wJQW8XDZUDk4jrqlG5QB</v>
      </c>
      <c r="H6" s="4" t="str">
        <f>IF(SULIMA!H6="","",_xlfn.XLOOKUP(SULIMA!H6,'SULIMA ids'!$A$1:$A$21,'SULIMA ids'!$B$1:$B$21,""))</f>
        <v>1oa1DjYEEwdm9wJQW8XDZUDk4jrqlG5QB</v>
      </c>
      <c r="I6" s="4" t="str">
        <f>IF(SULIMA!I6="","",_xlfn.XLOOKUP(SULIMA!I6,'SULIMA ids'!$A$1:$A$21,'SULIMA ids'!$B$1:$B$21,""))</f>
        <v>1oa1DjYEEwdm9wJQW8XDZUDk4jrqlG5QB</v>
      </c>
      <c r="J6" s="4" t="str">
        <f>IF(SULIMA!J6="","",_xlfn.XLOOKUP(SULIMA!J6,'SULIMA ids'!$A$1:$A$21,'SULIMA ids'!$B$1:$B$21,""))</f>
        <v>1oa1DjYEEwdm9wJQW8XDZUDk4jrqlG5QB</v>
      </c>
      <c r="K6" s="4" t="str">
        <f>IF(SULIMA!K6="","",_xlfn.XLOOKUP(SULIMA!K6,'SULIMA ids'!$A$1:$A$21,'SULIMA ids'!$B$1:$B$21,""))</f>
        <v>1oa1DjYEEwdm9wJQW8XDZUDk4jrqlG5QB</v>
      </c>
      <c r="L6" s="4" t="str">
        <f>IF(SULIMA!L6="","",_xlfn.XLOOKUP(SULIMA!L6,'SULIMA ids'!$A$1:$A$21,'SULIMA ids'!$B$1:$B$21,""))</f>
        <v>1oa1DjYEEwdm9wJQW8XDZUDk4jrqlG5QB</v>
      </c>
      <c r="M6" s="4" t="str">
        <f>IF(SULIMA!M6="","",_xlfn.XLOOKUP(SULIMA!M6,'SULIMA ids'!$A$1:$A$21,'SULIMA ids'!$B$1:$B$21,""))</f>
        <v>1oa1DjYEEwdm9wJQW8XDZUDk4jrqlG5QB</v>
      </c>
      <c r="N6" s="4" t="str">
        <f>IF(SULIMA!N6="","",_xlfn.XLOOKUP(SULIMA!N6,'SULIMA ids'!$A$1:$A$21,'SULIMA ids'!$B$1:$B$21,""))</f>
        <v>1oa1DjYEEwdm9wJQW8XDZUDk4jrqlG5QB</v>
      </c>
      <c r="O6" s="4" t="str">
        <f>IF(SULIMA!O6="","",_xlfn.XLOOKUP(SULIMA!O6,'SULIMA ids'!$A$1:$A$21,'SULIMA ids'!$B$1:$B$21,""))</f>
        <v>1oa1DjYEEwdm9wJQW8XDZUDk4jrqlG5QB</v>
      </c>
      <c r="P6" s="4" t="str">
        <f>IF(SULIMA!P6="","",_xlfn.XLOOKUP(SULIMA!P6,'SULIMA ids'!$A$1:$A$21,'SULIMA ids'!$B$1:$B$21,""))</f>
        <v>1oa1DjYEEwdm9wJQW8XDZUDk4jrqlG5QB</v>
      </c>
      <c r="Q6" s="4" t="str">
        <f>IF(SULIMA!Q6="","",_xlfn.XLOOKUP(SULIMA!Q6,'SULIMA ids'!$A$1:$A$21,'SULIMA ids'!$B$1:$B$21,""))</f>
        <v>1oa1DjYEEwdm9wJQW8XDZUDk4jrqlG5QB</v>
      </c>
      <c r="R6" s="4" t="str">
        <f>IF(SULIMA!R6="","",_xlfn.XLOOKUP(SULIMA!R6,'SULIMA ids'!$A$1:$A$21,'SULIMA ids'!$B$1:$B$21,""))</f>
        <v>1oa1DjYEEwdm9wJQW8XDZUDk4jrqlG5QB</v>
      </c>
      <c r="S6" s="4" t="str">
        <f>IF(SULIMA!S6="","",_xlfn.XLOOKUP(SULIMA!S6,'SULIMA ids'!$A$1:$A$21,'SULIMA ids'!$B$1:$B$21,""))</f>
        <v>1ASTrMyT8BoZ1R3JFTD4faPJqC2wAwo-Z</v>
      </c>
      <c r="T6" s="4" t="str">
        <f>IF(SULIMA!T6="","",_xlfn.XLOOKUP(SULIMA!T6,'SULIMA ids'!$A$1:$A$21,'SULIMA ids'!$B$1:$B$21,""))</f>
        <v>1oa1DjYEEwdm9wJQW8XDZUDk4jrqlG5QB</v>
      </c>
      <c r="U6" s="4" t="str">
        <f>IF(SULIMA!U6="","",_xlfn.XLOOKUP(SULIMA!U6,'SULIMA ids'!$A$1:$A$21,'SULIMA ids'!$B$1:$B$21,""))</f>
        <v>1oa1DjYEEwdm9wJQW8XDZUDk4jrqlG5QB</v>
      </c>
      <c r="V6" s="4" t="str">
        <f>IF(SULIMA!V6="","",_xlfn.XLOOKUP(SULIMA!V6,'SULIMA ids'!$A$1:$A$21,'SULIMA ids'!$B$1:$B$21,""))</f>
        <v>1oa1DjYEEwdm9wJQW8XDZUDk4jrqlG5QB</v>
      </c>
      <c r="W6" s="4" t="str">
        <f>IF(SULIMA!W6="","",_xlfn.XLOOKUP(SULIMA!W6,'SULIMA ids'!$A$1:$A$21,'SULIMA ids'!$B$1:$B$21,""))</f>
        <v>1oa1DjYEEwdm9wJQW8XDZUDk4jrqlG5QB</v>
      </c>
    </row>
    <row r="7" spans="1:23" x14ac:dyDescent="0.25">
      <c r="A7" s="3" t="str">
        <f>SULIMA!A7</f>
        <v>Asset</v>
      </c>
      <c r="B7" s="4" t="str">
        <f>IF(SULIMA!B7="","",_xlfn.XLOOKUP(SULIMA!B7,'SULIMA ids'!$A$1:$A$21,'SULIMA ids'!$B$1:$B$21,""))</f>
        <v>17eP1Ps9zdVPnVgQdYS3YuaFMui4sbtPi</v>
      </c>
      <c r="C7" s="4" t="str">
        <f>IF(SULIMA!C7="","",_xlfn.XLOOKUP(SULIMA!C7,'SULIMA ids'!$A$1:$A$21,'SULIMA ids'!$B$1:$B$21,""))</f>
        <v>17eP1Ps9zdVPnVgQdYS3YuaFMui4sbtPi</v>
      </c>
      <c r="D7" s="4" t="str">
        <f>IF(SULIMA!D7="","",_xlfn.XLOOKUP(SULIMA!D7,'SULIMA ids'!$A$1:$A$21,'SULIMA ids'!$B$1:$B$21,""))</f>
        <v>17eP1Ps9zdVPnVgQdYS3YuaFMui4sbtPi</v>
      </c>
      <c r="E7" s="4" t="str">
        <f>IF(SULIMA!E7="","",_xlfn.XLOOKUP(SULIMA!E7,'SULIMA ids'!$A$1:$A$21,'SULIMA ids'!$B$1:$B$21,""))</f>
        <v>17eP1Ps9zdVPnVgQdYS3YuaFMui4sbtPi</v>
      </c>
      <c r="F7" s="4" t="str">
        <f>IF(SULIMA!F7="","",_xlfn.XLOOKUP(SULIMA!F7,'SULIMA ids'!$A$1:$A$21,'SULIMA ids'!$B$1:$B$21,""))</f>
        <v>1oa1DjYEEwdm9wJQW8XDZUDk4jrqlG5QB</v>
      </c>
      <c r="G7" s="4" t="str">
        <f>IF(SULIMA!G7="","",_xlfn.XLOOKUP(SULIMA!G7,'SULIMA ids'!$A$1:$A$21,'SULIMA ids'!$B$1:$B$21,""))</f>
        <v>17eP1Ps9zdVPnVgQdYS3YuaFMui4sbtPi</v>
      </c>
      <c r="H7" s="4" t="str">
        <f>IF(SULIMA!H7="","",_xlfn.XLOOKUP(SULIMA!H7,'SULIMA ids'!$A$1:$A$21,'SULIMA ids'!$B$1:$B$21,""))</f>
        <v>1jibhxXBXsZUgsTYiudGBCjD7cdAILiiA</v>
      </c>
      <c r="I7" s="4" t="str">
        <f>IF(SULIMA!I7="","",_xlfn.XLOOKUP(SULIMA!I7,'SULIMA ids'!$A$1:$A$21,'SULIMA ids'!$B$1:$B$21,""))</f>
        <v>1Wxi1Qx2VmUJJRXaACsUpIwCwLL-MeLSh</v>
      </c>
      <c r="J7" s="4" t="str">
        <f>IF(SULIMA!J7="","",_xlfn.XLOOKUP(SULIMA!J7,'SULIMA ids'!$A$1:$A$21,'SULIMA ids'!$B$1:$B$21,""))</f>
        <v>17eP1Ps9zdVPnVgQdYS3YuaFMui4sbtPi</v>
      </c>
      <c r="K7" s="4" t="str">
        <f>IF(SULIMA!K7="","",_xlfn.XLOOKUP(SULIMA!K7,'SULIMA ids'!$A$1:$A$21,'SULIMA ids'!$B$1:$B$21,""))</f>
        <v>17eP1Ps9zdVPnVgQdYS3YuaFMui4sbtPi</v>
      </c>
      <c r="L7" s="4" t="str">
        <f>IF(SULIMA!L7="","",_xlfn.XLOOKUP(SULIMA!L7,'SULIMA ids'!$A$1:$A$21,'SULIMA ids'!$B$1:$B$21,""))</f>
        <v>17eP1Ps9zdVPnVgQdYS3YuaFMui4sbtPi</v>
      </c>
      <c r="M7" s="4" t="str">
        <f>IF(SULIMA!M7="","",_xlfn.XLOOKUP(SULIMA!M7,'SULIMA ids'!$A$1:$A$21,'SULIMA ids'!$B$1:$B$21,""))</f>
        <v>1Wwn62wgXvWL4xPfCsCRGLl2nGC6yMHnn</v>
      </c>
      <c r="N7" s="4" t="str">
        <f>IF(SULIMA!N7="","",_xlfn.XLOOKUP(SULIMA!N7,'SULIMA ids'!$A$1:$A$21,'SULIMA ids'!$B$1:$B$21,""))</f>
        <v>17eP1Ps9zdVPnVgQdYS3YuaFMui4sbtPi</v>
      </c>
      <c r="O7" s="4" t="str">
        <f>IF(SULIMA!O7="","",_xlfn.XLOOKUP(SULIMA!O7,'SULIMA ids'!$A$1:$A$21,'SULIMA ids'!$B$1:$B$21,""))</f>
        <v>17eP1Ps9zdVPnVgQdYS3YuaFMui4sbtPi</v>
      </c>
      <c r="P7" s="4" t="str">
        <f>IF(SULIMA!P7="","",_xlfn.XLOOKUP(SULIMA!P7,'SULIMA ids'!$A$1:$A$21,'SULIMA ids'!$B$1:$B$21,""))</f>
        <v>1ASTrMyT8BoZ1R3JFTD4faPJqC2wAwo-Z</v>
      </c>
      <c r="Q7" s="4" t="str">
        <f>IF(SULIMA!Q7="","",_xlfn.XLOOKUP(SULIMA!Q7,'SULIMA ids'!$A$1:$A$21,'SULIMA ids'!$B$1:$B$21,""))</f>
        <v>1D4BOx2y0gJ6IaGCUqBoJ6lOROpoXeUL7</v>
      </c>
      <c r="R7" s="4" t="str">
        <f>IF(SULIMA!R7="","",_xlfn.XLOOKUP(SULIMA!R7,'SULIMA ids'!$A$1:$A$21,'SULIMA ids'!$B$1:$B$21,""))</f>
        <v>17eP1Ps9zdVPnVgQdYS3YuaFMui4sbtPi</v>
      </c>
      <c r="S7" s="4" t="str">
        <f>IF(SULIMA!S7="","",_xlfn.XLOOKUP(SULIMA!S7,'SULIMA ids'!$A$1:$A$21,'SULIMA ids'!$B$1:$B$21,""))</f>
        <v>1ASTrMyT8BoZ1R3JFTD4faPJqC2wAwo-Z</v>
      </c>
      <c r="T7" s="4" t="str">
        <f>IF(SULIMA!T7="","",_xlfn.XLOOKUP(SULIMA!T7,'SULIMA ids'!$A$1:$A$21,'SULIMA ids'!$B$1:$B$21,""))</f>
        <v>17eP1Ps9zdVPnVgQdYS3YuaFMui4sbtPi</v>
      </c>
      <c r="U7" s="4" t="str">
        <f>IF(SULIMA!U7="","",_xlfn.XLOOKUP(SULIMA!U7,'SULIMA ids'!$A$1:$A$21,'SULIMA ids'!$B$1:$B$21,""))</f>
        <v>1D4VHUORJN08hK49qS1ZCEZ0CwV7aMR_h</v>
      </c>
      <c r="V7" s="4" t="str">
        <f>IF(SULIMA!V7="","",_xlfn.XLOOKUP(SULIMA!V7,'SULIMA ids'!$A$1:$A$21,'SULIMA ids'!$B$1:$B$21,""))</f>
        <v>1ugMOJqdYEXN530v90JNVR1Jm4CtWtFz5</v>
      </c>
      <c r="W7" s="4" t="str">
        <f>IF(SULIMA!W7="","",_xlfn.XLOOKUP(SULIMA!W7,'SULIMA ids'!$A$1:$A$21,'SULIMA ids'!$B$1:$B$21,""))</f>
        <v>1NT5GSrqVKJwtOsn6fTB5iZOyxdGqUWbh</v>
      </c>
    </row>
    <row r="8" spans="1:23" x14ac:dyDescent="0.25">
      <c r="A8" s="3" t="str">
        <f>SULIMA!A8</f>
        <v>Copy</v>
      </c>
      <c r="B8" s="4" t="str">
        <f>IF(SULIMA!B8="","",_xlfn.XLOOKUP(SULIMA!B8,'SULIMA ids'!$A$1:$A$21,'SULIMA ids'!$B$1:$B$21,""))</f>
        <v>1jibhxXBXsZUgsTYiudGBCjD7cdAILiiA</v>
      </c>
      <c r="C8" s="4" t="str">
        <f>IF(SULIMA!C8="","",_xlfn.XLOOKUP(SULIMA!C8,'SULIMA ids'!$A$1:$A$21,'SULIMA ids'!$B$1:$B$21,""))</f>
        <v>1jibhxXBXsZUgsTYiudGBCjD7cdAILiiA</v>
      </c>
      <c r="D8" s="4" t="str">
        <f>IF(SULIMA!D8="","",_xlfn.XLOOKUP(SULIMA!D8,'SULIMA ids'!$A$1:$A$21,'SULIMA ids'!$B$1:$B$21,""))</f>
        <v>1jibhxXBXsZUgsTYiudGBCjD7cdAILiiA</v>
      </c>
      <c r="E8" s="4" t="str">
        <f>IF(SULIMA!E8="","",_xlfn.XLOOKUP(SULIMA!E8,'SULIMA ids'!$A$1:$A$21,'SULIMA ids'!$B$1:$B$21,""))</f>
        <v>1jibhxXBXsZUgsTYiudGBCjD7cdAILiiA</v>
      </c>
      <c r="F8" s="4" t="str">
        <f>IF(SULIMA!F8="","",_xlfn.XLOOKUP(SULIMA!F8,'SULIMA ids'!$A$1:$A$21,'SULIMA ids'!$B$1:$B$21,""))</f>
        <v>1oa1DjYEEwdm9wJQW8XDZUDk4jrqlG5QB</v>
      </c>
      <c r="G8" s="4" t="str">
        <f>IF(SULIMA!G8="","",_xlfn.XLOOKUP(SULIMA!G8,'SULIMA ids'!$A$1:$A$21,'SULIMA ids'!$B$1:$B$21,""))</f>
        <v>1jibhxXBXsZUgsTYiudGBCjD7cdAILiiA</v>
      </c>
      <c r="H8" s="4" t="str">
        <f>IF(SULIMA!H8="","",_xlfn.XLOOKUP(SULIMA!H8,'SULIMA ids'!$A$1:$A$21,'SULIMA ids'!$B$1:$B$21,""))</f>
        <v>1jibhxXBXsZUgsTYiudGBCjD7cdAILiiA</v>
      </c>
      <c r="I8" s="4" t="str">
        <f>IF(SULIMA!I8="","",_xlfn.XLOOKUP(SULIMA!I8,'SULIMA ids'!$A$1:$A$21,'SULIMA ids'!$B$1:$B$21,""))</f>
        <v>1Wxi1Qx2VmUJJRXaACsUpIwCwLL-MeLSh</v>
      </c>
      <c r="J8" s="4" t="str">
        <f>IF(SULIMA!J8="","",_xlfn.XLOOKUP(SULIMA!J8,'SULIMA ids'!$A$1:$A$21,'SULIMA ids'!$B$1:$B$21,""))</f>
        <v>1jibhxXBXsZUgsTYiudGBCjD7cdAILiiA</v>
      </c>
      <c r="K8" s="4" t="str">
        <f>IF(SULIMA!K8="","",_xlfn.XLOOKUP(SULIMA!K8,'SULIMA ids'!$A$1:$A$21,'SULIMA ids'!$B$1:$B$21,""))</f>
        <v>1jibhxXBXsZUgsTYiudGBCjD7cdAILiiA</v>
      </c>
      <c r="L8" s="4" t="str">
        <f>IF(SULIMA!L8="","",_xlfn.XLOOKUP(SULIMA!L8,'SULIMA ids'!$A$1:$A$21,'SULIMA ids'!$B$1:$B$21,""))</f>
        <v>1jibhxXBXsZUgsTYiudGBCjD7cdAILiiA</v>
      </c>
      <c r="M8" s="4" t="str">
        <f>IF(SULIMA!M8="","",_xlfn.XLOOKUP(SULIMA!M8,'SULIMA ids'!$A$1:$A$21,'SULIMA ids'!$B$1:$B$21,""))</f>
        <v>1Wwn62wgXvWL4xPfCsCRGLl2nGC6yMHnn</v>
      </c>
      <c r="N8" s="4" t="str">
        <f>IF(SULIMA!N8="","",_xlfn.XLOOKUP(SULIMA!N8,'SULIMA ids'!$A$1:$A$21,'SULIMA ids'!$B$1:$B$21,""))</f>
        <v>1jibhxXBXsZUgsTYiudGBCjD7cdAILiiA</v>
      </c>
      <c r="O8" s="4" t="str">
        <f>IF(SULIMA!O8="","",_xlfn.XLOOKUP(SULIMA!O8,'SULIMA ids'!$A$1:$A$21,'SULIMA ids'!$B$1:$B$21,""))</f>
        <v>1jibhxXBXsZUgsTYiudGBCjD7cdAILiiA</v>
      </c>
      <c r="P8" s="4" t="str">
        <f>IF(SULIMA!P8="","",_xlfn.XLOOKUP(SULIMA!P8,'SULIMA ids'!$A$1:$A$21,'SULIMA ids'!$B$1:$B$21,""))</f>
        <v>1ASTrMyT8BoZ1R3JFTD4faPJqC2wAwo-Z</v>
      </c>
      <c r="Q8" s="4" t="str">
        <f>IF(SULIMA!Q8="","",_xlfn.XLOOKUP(SULIMA!Q8,'SULIMA ids'!$A$1:$A$21,'SULIMA ids'!$B$1:$B$21,""))</f>
        <v>1D4BOx2y0gJ6IaGCUqBoJ6lOROpoXeUL7</v>
      </c>
      <c r="R8" s="4" t="str">
        <f>IF(SULIMA!R8="","",_xlfn.XLOOKUP(SULIMA!R8,'SULIMA ids'!$A$1:$A$21,'SULIMA ids'!$B$1:$B$21,""))</f>
        <v>1jibhxXBXsZUgsTYiudGBCjD7cdAILiiA</v>
      </c>
      <c r="S8" s="4" t="str">
        <f>IF(SULIMA!S8="","",_xlfn.XLOOKUP(SULIMA!S8,'SULIMA ids'!$A$1:$A$21,'SULIMA ids'!$B$1:$B$21,""))</f>
        <v>1ASTrMyT8BoZ1R3JFTD4faPJqC2wAwo-Z</v>
      </c>
      <c r="T8" s="4" t="str">
        <f>IF(SULIMA!T8="","",_xlfn.XLOOKUP(SULIMA!T8,'SULIMA ids'!$A$1:$A$21,'SULIMA ids'!$B$1:$B$21,""))</f>
        <v>1jibhxXBXsZUgsTYiudGBCjD7cdAILiiA</v>
      </c>
      <c r="U8" s="4" t="str">
        <f>IF(SULIMA!U8="","",_xlfn.XLOOKUP(SULIMA!U8,'SULIMA ids'!$A$1:$A$21,'SULIMA ids'!$B$1:$B$21,""))</f>
        <v>1D4VHUORJN08hK49qS1ZCEZ0CwV7aMR_h</v>
      </c>
      <c r="V8" s="4" t="str">
        <f>IF(SULIMA!V8="","",_xlfn.XLOOKUP(SULIMA!V8,'SULIMA ids'!$A$1:$A$21,'SULIMA ids'!$B$1:$B$21,""))</f>
        <v>1ugMOJqdYEXN530v90JNVR1Jm4CtWtFz5</v>
      </c>
      <c r="W8" s="4" t="str">
        <f>IF(SULIMA!W8="","",_xlfn.XLOOKUP(SULIMA!W8,'SULIMA ids'!$A$1:$A$21,'SULIMA ids'!$B$1:$B$21,""))</f>
        <v>1NT5GSrqVKJwtOsn6fTB5iZOyxdGqUWbh</v>
      </c>
    </row>
    <row r="9" spans="1:23" x14ac:dyDescent="0.25">
      <c r="A9" s="3" t="str">
        <f>SULIMA!A9</f>
        <v>Design</v>
      </c>
      <c r="B9" s="4" t="str">
        <f>IF(SULIMA!B9="","",_xlfn.XLOOKUP(SULIMA!B9,'SULIMA ids'!$A$1:$A$21,'SULIMA ids'!$B$1:$B$21,""))</f>
        <v>1Wxi1Qx2VmUJJRXaACsUpIwCwLL-MeLSh</v>
      </c>
      <c r="C9" s="4" t="str">
        <f>IF(SULIMA!C9="","",_xlfn.XLOOKUP(SULIMA!C9,'SULIMA ids'!$A$1:$A$21,'SULIMA ids'!$B$1:$B$21,""))</f>
        <v>1Wxi1Qx2VmUJJRXaACsUpIwCwLL-MeLSh</v>
      </c>
      <c r="D9" s="4" t="str">
        <f>IF(SULIMA!D9="","",_xlfn.XLOOKUP(SULIMA!D9,'SULIMA ids'!$A$1:$A$21,'SULIMA ids'!$B$1:$B$21,""))</f>
        <v>1Wxi1Qx2VmUJJRXaACsUpIwCwLL-MeLSh</v>
      </c>
      <c r="E9" s="4" t="str">
        <f>IF(SULIMA!E9="","",_xlfn.XLOOKUP(SULIMA!E9,'SULIMA ids'!$A$1:$A$21,'SULIMA ids'!$B$1:$B$21,""))</f>
        <v>1Wxi1Qx2VmUJJRXaACsUpIwCwLL-MeLSh</v>
      </c>
      <c r="F9" s="4" t="str">
        <f>IF(SULIMA!F9="","",_xlfn.XLOOKUP(SULIMA!F9,'SULIMA ids'!$A$1:$A$21,'SULIMA ids'!$B$1:$B$21,""))</f>
        <v>1oa1DjYEEwdm9wJQW8XDZUDk4jrqlG5QB</v>
      </c>
      <c r="G9" s="4" t="str">
        <f>IF(SULIMA!G9="","",_xlfn.XLOOKUP(SULIMA!G9,'SULIMA ids'!$A$1:$A$21,'SULIMA ids'!$B$1:$B$21,""))</f>
        <v>1Wxi1Qx2VmUJJRXaACsUpIwCwLL-MeLSh</v>
      </c>
      <c r="H9" s="4" t="str">
        <f>IF(SULIMA!H9="","",_xlfn.XLOOKUP(SULIMA!H9,'SULIMA ids'!$A$1:$A$21,'SULIMA ids'!$B$1:$B$21,""))</f>
        <v>1Wxi1Qx2VmUJJRXaACsUpIwCwLL-MeLSh</v>
      </c>
      <c r="I9" s="4" t="str">
        <f>IF(SULIMA!I9="","",_xlfn.XLOOKUP(SULIMA!I9,'SULIMA ids'!$A$1:$A$21,'SULIMA ids'!$B$1:$B$21,""))</f>
        <v>1Wxi1Qx2VmUJJRXaACsUpIwCwLL-MeLSh</v>
      </c>
      <c r="J9" s="4" t="str">
        <f>IF(SULIMA!J9="","",_xlfn.XLOOKUP(SULIMA!J9,'SULIMA ids'!$A$1:$A$21,'SULIMA ids'!$B$1:$B$21,""))</f>
        <v>1Wxi1Qx2VmUJJRXaACsUpIwCwLL-MeLSh</v>
      </c>
      <c r="K9" s="4" t="str">
        <f>IF(SULIMA!K9="","",_xlfn.XLOOKUP(SULIMA!K9,'SULIMA ids'!$A$1:$A$21,'SULIMA ids'!$B$1:$B$21,""))</f>
        <v>1Wxi1Qx2VmUJJRXaACsUpIwCwLL-MeLSh</v>
      </c>
      <c r="L9" s="4" t="str">
        <f>IF(SULIMA!L9="","",_xlfn.XLOOKUP(SULIMA!L9,'SULIMA ids'!$A$1:$A$21,'SULIMA ids'!$B$1:$B$21,""))</f>
        <v>1Wxi1Qx2VmUJJRXaACsUpIwCwLL-MeLSh</v>
      </c>
      <c r="M9" s="4" t="str">
        <f>IF(SULIMA!M9="","",_xlfn.XLOOKUP(SULIMA!M9,'SULIMA ids'!$A$1:$A$21,'SULIMA ids'!$B$1:$B$21,""))</f>
        <v>1Wwn62wgXvWL4xPfCsCRGLl2nGC6yMHnn</v>
      </c>
      <c r="N9" s="4" t="str">
        <f>IF(SULIMA!N9="","",_xlfn.XLOOKUP(SULIMA!N9,'SULIMA ids'!$A$1:$A$21,'SULIMA ids'!$B$1:$B$21,""))</f>
        <v>1Wxi1Qx2VmUJJRXaACsUpIwCwLL-MeLSh</v>
      </c>
      <c r="O9" s="4" t="str">
        <f>IF(SULIMA!O9="","",_xlfn.XLOOKUP(SULIMA!O9,'SULIMA ids'!$A$1:$A$21,'SULIMA ids'!$B$1:$B$21,""))</f>
        <v>1Wxi1Qx2VmUJJRXaACsUpIwCwLL-MeLSh</v>
      </c>
      <c r="P9" s="4" t="str">
        <f>IF(SULIMA!P9="","",_xlfn.XLOOKUP(SULIMA!P9,'SULIMA ids'!$A$1:$A$21,'SULIMA ids'!$B$1:$B$21,""))</f>
        <v>1ASTrMyT8BoZ1R3JFTD4faPJqC2wAwo-Z</v>
      </c>
      <c r="Q9" s="4" t="str">
        <f>IF(SULIMA!Q9="","",_xlfn.XLOOKUP(SULIMA!Q9,'SULIMA ids'!$A$1:$A$21,'SULIMA ids'!$B$1:$B$21,""))</f>
        <v>1D4BOx2y0gJ6IaGCUqBoJ6lOROpoXeUL7</v>
      </c>
      <c r="R9" s="4" t="str">
        <f>IF(SULIMA!R9="","",_xlfn.XLOOKUP(SULIMA!R9,'SULIMA ids'!$A$1:$A$21,'SULIMA ids'!$B$1:$B$21,""))</f>
        <v>1Wxi1Qx2VmUJJRXaACsUpIwCwLL-MeLSh</v>
      </c>
      <c r="S9" s="4" t="str">
        <f>IF(SULIMA!S9="","",_xlfn.XLOOKUP(SULIMA!S9,'SULIMA ids'!$A$1:$A$21,'SULIMA ids'!$B$1:$B$21,""))</f>
        <v>1ASTrMyT8BoZ1R3JFTD4faPJqC2wAwo-Z</v>
      </c>
      <c r="T9" s="4" t="str">
        <f>IF(SULIMA!T9="","",_xlfn.XLOOKUP(SULIMA!T9,'SULIMA ids'!$A$1:$A$21,'SULIMA ids'!$B$1:$B$21,""))</f>
        <v>1Wxi1Qx2VmUJJRXaACsUpIwCwLL-MeLSh</v>
      </c>
      <c r="U9" s="4" t="str">
        <f>IF(SULIMA!U9="","",_xlfn.XLOOKUP(SULIMA!U9,'SULIMA ids'!$A$1:$A$21,'SULIMA ids'!$B$1:$B$21,""))</f>
        <v>1D4VHUORJN08hK49qS1ZCEZ0CwV7aMR_h</v>
      </c>
      <c r="V9" s="4" t="str">
        <f>IF(SULIMA!V9="","",_xlfn.XLOOKUP(SULIMA!V9,'SULIMA ids'!$A$1:$A$21,'SULIMA ids'!$B$1:$B$21,""))</f>
        <v>1ugMOJqdYEXN530v90JNVR1Jm4CtWtFz5</v>
      </c>
      <c r="W9" s="4" t="str">
        <f>IF(SULIMA!W9="","",_xlfn.XLOOKUP(SULIMA!W9,'SULIMA ids'!$A$1:$A$21,'SULIMA ids'!$B$1:$B$21,""))</f>
        <v>1NT5GSrqVKJwtOsn6fTB5iZOyxdGqUWbh</v>
      </c>
    </row>
    <row r="10" spans="1:23" x14ac:dyDescent="0.25">
      <c r="A10" s="3" t="str">
        <f>SULIMA!A10</f>
        <v>Marketing</v>
      </c>
      <c r="B10" s="4" t="str">
        <f>IF(SULIMA!B10="","",_xlfn.XLOOKUP(SULIMA!B10,'SULIMA ids'!$A$1:$A$21,'SULIMA ids'!$B$1:$B$21,""))</f>
        <v>1D4BOx2y0gJ6IaGCUqBoJ6lOROpoXeUL7</v>
      </c>
      <c r="C10" s="4" t="str">
        <f>IF(SULIMA!C10="","",_xlfn.XLOOKUP(SULIMA!C10,'SULIMA ids'!$A$1:$A$21,'SULIMA ids'!$B$1:$B$21,""))</f>
        <v>1D4BOx2y0gJ6IaGCUqBoJ6lOROpoXeUL7</v>
      </c>
      <c r="D10" s="4" t="str">
        <f>IF(SULIMA!D10="","",_xlfn.XLOOKUP(SULIMA!D10,'SULIMA ids'!$A$1:$A$21,'SULIMA ids'!$B$1:$B$21,""))</f>
        <v>1D4BOx2y0gJ6IaGCUqBoJ6lOROpoXeUL7</v>
      </c>
      <c r="E10" s="4" t="str">
        <f>IF(SULIMA!E10="","",_xlfn.XLOOKUP(SULIMA!E10,'SULIMA ids'!$A$1:$A$21,'SULIMA ids'!$B$1:$B$21,""))</f>
        <v>1D4BOx2y0gJ6IaGCUqBoJ6lOROpoXeUL7</v>
      </c>
      <c r="F10" s="4" t="str">
        <f>IF(SULIMA!F10="","",_xlfn.XLOOKUP(SULIMA!F10,'SULIMA ids'!$A$1:$A$21,'SULIMA ids'!$B$1:$B$21,""))</f>
        <v>1oa1DjYEEwdm9wJQW8XDZUDk4jrqlG5QB</v>
      </c>
      <c r="G10" s="4" t="str">
        <f>IF(SULIMA!G10="","",_xlfn.XLOOKUP(SULIMA!G10,'SULIMA ids'!$A$1:$A$21,'SULIMA ids'!$B$1:$B$21,""))</f>
        <v>17eP1Ps9zdVPnVgQdYS3YuaFMui4sbtPi</v>
      </c>
      <c r="H10" s="4" t="str">
        <f>IF(SULIMA!H10="","",_xlfn.XLOOKUP(SULIMA!H10,'SULIMA ids'!$A$1:$A$21,'SULIMA ids'!$B$1:$B$21,""))</f>
        <v>1jibhxXBXsZUgsTYiudGBCjD7cdAILiiA</v>
      </c>
      <c r="I10" s="4" t="str">
        <f>IF(SULIMA!I10="","",_xlfn.XLOOKUP(SULIMA!I10,'SULIMA ids'!$A$1:$A$21,'SULIMA ids'!$B$1:$B$21,""))</f>
        <v>1Wxi1Qx2VmUJJRXaACsUpIwCwLL-MeLSh</v>
      </c>
      <c r="J10" s="4" t="str">
        <f>IF(SULIMA!J10="","",_xlfn.XLOOKUP(SULIMA!J10,'SULIMA ids'!$A$1:$A$21,'SULIMA ids'!$B$1:$B$21,""))</f>
        <v>1D4BOx2y0gJ6IaGCUqBoJ6lOROpoXeUL7</v>
      </c>
      <c r="K10" s="4" t="str">
        <f>IF(SULIMA!K10="","",_xlfn.XLOOKUP(SULIMA!K10,'SULIMA ids'!$A$1:$A$21,'SULIMA ids'!$B$1:$B$21,""))</f>
        <v>1D4BOx2y0gJ6IaGCUqBoJ6lOROpoXeUL7</v>
      </c>
      <c r="L10" s="4" t="str">
        <f>IF(SULIMA!L10="","",_xlfn.XLOOKUP(SULIMA!L10,'SULIMA ids'!$A$1:$A$21,'SULIMA ids'!$B$1:$B$21,""))</f>
        <v>1D4BOx2y0gJ6IaGCUqBoJ6lOROpoXeUL7</v>
      </c>
      <c r="M10" s="4" t="str">
        <f>IF(SULIMA!M10="","",_xlfn.XLOOKUP(SULIMA!M10,'SULIMA ids'!$A$1:$A$21,'SULIMA ids'!$B$1:$B$21,""))</f>
        <v>1Wwn62wgXvWL4xPfCsCRGLl2nGC6yMHnn</v>
      </c>
      <c r="N10" s="4" t="str">
        <f>IF(SULIMA!N10="","",_xlfn.XLOOKUP(SULIMA!N10,'SULIMA ids'!$A$1:$A$21,'SULIMA ids'!$B$1:$B$21,""))</f>
        <v>1D4BOx2y0gJ6IaGCUqBoJ6lOROpoXeUL7</v>
      </c>
      <c r="O10" s="4" t="str">
        <f>IF(SULIMA!O10="","",_xlfn.XLOOKUP(SULIMA!O10,'SULIMA ids'!$A$1:$A$21,'SULIMA ids'!$B$1:$B$21,""))</f>
        <v>1D4BOx2y0gJ6IaGCUqBoJ6lOROpoXeUL7</v>
      </c>
      <c r="P10" s="4" t="str">
        <f>IF(SULIMA!P10="","",_xlfn.XLOOKUP(SULIMA!P10,'SULIMA ids'!$A$1:$A$21,'SULIMA ids'!$B$1:$B$21,""))</f>
        <v>1ASTrMyT8BoZ1R3JFTD4faPJqC2wAwo-Z</v>
      </c>
      <c r="Q10" s="4" t="str">
        <f>IF(SULIMA!Q10="","",_xlfn.XLOOKUP(SULIMA!Q10,'SULIMA ids'!$A$1:$A$21,'SULIMA ids'!$B$1:$B$21,""))</f>
        <v>1D4BOx2y0gJ6IaGCUqBoJ6lOROpoXeUL7</v>
      </c>
      <c r="R10" s="4" t="str">
        <f>IF(SULIMA!R10="","",_xlfn.XLOOKUP(SULIMA!R10,'SULIMA ids'!$A$1:$A$21,'SULIMA ids'!$B$1:$B$21,""))</f>
        <v>1D4BOx2y0gJ6IaGCUqBoJ6lOROpoXeUL7</v>
      </c>
      <c r="S10" s="4" t="str">
        <f>IF(SULIMA!S10="","",_xlfn.XLOOKUP(SULIMA!S10,'SULIMA ids'!$A$1:$A$21,'SULIMA ids'!$B$1:$B$21,""))</f>
        <v>1ASTrMyT8BoZ1R3JFTD4faPJqC2wAwo-Z</v>
      </c>
      <c r="T10" s="4" t="str">
        <f>IF(SULIMA!T10="","",_xlfn.XLOOKUP(SULIMA!T10,'SULIMA ids'!$A$1:$A$21,'SULIMA ids'!$B$1:$B$21,""))</f>
        <v>1D4BOx2y0gJ6IaGCUqBoJ6lOROpoXeUL7</v>
      </c>
      <c r="U10" s="4" t="str">
        <f>IF(SULIMA!U10="","",_xlfn.XLOOKUP(SULIMA!U10,'SULIMA ids'!$A$1:$A$21,'SULIMA ids'!$B$1:$B$21,""))</f>
        <v>1D4VHUORJN08hK49qS1ZCEZ0CwV7aMR_h</v>
      </c>
      <c r="V10" s="4" t="str">
        <f>IF(SULIMA!V10="","",_xlfn.XLOOKUP(SULIMA!V10,'SULIMA ids'!$A$1:$A$21,'SULIMA ids'!$B$1:$B$21,""))</f>
        <v>1ugMOJqdYEXN530v90JNVR1Jm4CtWtFz5</v>
      </c>
      <c r="W10" s="4" t="str">
        <f>IF(SULIMA!W10="","",_xlfn.XLOOKUP(SULIMA!W10,'SULIMA ids'!$A$1:$A$21,'SULIMA ids'!$B$1:$B$21,""))</f>
        <v>1NT5GSrqVKJwtOsn6fTB5iZOyxdGqUWbh</v>
      </c>
    </row>
    <row r="11" spans="1:23" x14ac:dyDescent="0.25">
      <c r="A11" s="3" t="str">
        <f>SULIMA!A11</f>
        <v>Newsletter</v>
      </c>
      <c r="B11" s="4" t="str">
        <f>IF(SULIMA!B11="","",_xlfn.XLOOKUP(SULIMA!B11,'SULIMA ids'!$A$1:$A$21,'SULIMA ids'!$B$1:$B$21,""))</f>
        <v>1D4BOx2y0gJ6IaGCUqBoJ6lOROpoXeUL7</v>
      </c>
      <c r="C11" s="4" t="str">
        <f>IF(SULIMA!C11="","",_xlfn.XLOOKUP(SULIMA!C11,'SULIMA ids'!$A$1:$A$21,'SULIMA ids'!$B$1:$B$21,""))</f>
        <v>1D4BOx2y0gJ6IaGCUqBoJ6lOROpoXeUL7</v>
      </c>
      <c r="D11" s="4" t="str">
        <f>IF(SULIMA!D11="","",_xlfn.XLOOKUP(SULIMA!D11,'SULIMA ids'!$A$1:$A$21,'SULIMA ids'!$B$1:$B$21,""))</f>
        <v>1D4BOx2y0gJ6IaGCUqBoJ6lOROpoXeUL7</v>
      </c>
      <c r="E11" s="4" t="str">
        <f>IF(SULIMA!E11="","",_xlfn.XLOOKUP(SULIMA!E11,'SULIMA ids'!$A$1:$A$21,'SULIMA ids'!$B$1:$B$21,""))</f>
        <v>1D4BOx2y0gJ6IaGCUqBoJ6lOROpoXeUL7</v>
      </c>
      <c r="F11" s="4" t="str">
        <f>IF(SULIMA!F11="","",_xlfn.XLOOKUP(SULIMA!F11,'SULIMA ids'!$A$1:$A$21,'SULIMA ids'!$B$1:$B$21,""))</f>
        <v>1oa1DjYEEwdm9wJQW8XDZUDk4jrqlG5QB</v>
      </c>
      <c r="G11" s="4" t="str">
        <f>IF(SULIMA!G11="","",_xlfn.XLOOKUP(SULIMA!G11,'SULIMA ids'!$A$1:$A$21,'SULIMA ids'!$B$1:$B$21,""))</f>
        <v>17eP1Ps9zdVPnVgQdYS3YuaFMui4sbtPi</v>
      </c>
      <c r="H11" s="4" t="str">
        <f>IF(SULIMA!H11="","",_xlfn.XLOOKUP(SULIMA!H11,'SULIMA ids'!$A$1:$A$21,'SULIMA ids'!$B$1:$B$21,""))</f>
        <v>1jibhxXBXsZUgsTYiudGBCjD7cdAILiiA</v>
      </c>
      <c r="I11" s="4" t="str">
        <f>IF(SULIMA!I11="","",_xlfn.XLOOKUP(SULIMA!I11,'SULIMA ids'!$A$1:$A$21,'SULIMA ids'!$B$1:$B$21,""))</f>
        <v>1Wxi1Qx2VmUJJRXaACsUpIwCwLL-MeLSh</v>
      </c>
      <c r="J11" s="4" t="str">
        <f>IF(SULIMA!J11="","",_xlfn.XLOOKUP(SULIMA!J11,'SULIMA ids'!$A$1:$A$21,'SULIMA ids'!$B$1:$B$21,""))</f>
        <v>1D4BOx2y0gJ6IaGCUqBoJ6lOROpoXeUL7</v>
      </c>
      <c r="K11" s="4" t="str">
        <f>IF(SULIMA!K11="","",_xlfn.XLOOKUP(SULIMA!K11,'SULIMA ids'!$A$1:$A$21,'SULIMA ids'!$B$1:$B$21,""))</f>
        <v>1D4BOx2y0gJ6IaGCUqBoJ6lOROpoXeUL7</v>
      </c>
      <c r="L11" s="4" t="str">
        <f>IF(SULIMA!L11="","",_xlfn.XLOOKUP(SULIMA!L11,'SULIMA ids'!$A$1:$A$21,'SULIMA ids'!$B$1:$B$21,""))</f>
        <v>1D4BOx2y0gJ6IaGCUqBoJ6lOROpoXeUL7</v>
      </c>
      <c r="M11" s="4" t="str">
        <f>IF(SULIMA!M11="","",_xlfn.XLOOKUP(SULIMA!M11,'SULIMA ids'!$A$1:$A$21,'SULIMA ids'!$B$1:$B$21,""))</f>
        <v>1Wwn62wgXvWL4xPfCsCRGLl2nGC6yMHnn</v>
      </c>
      <c r="N11" s="4" t="str">
        <f>IF(SULIMA!N11="","",_xlfn.XLOOKUP(SULIMA!N11,'SULIMA ids'!$A$1:$A$21,'SULIMA ids'!$B$1:$B$21,""))</f>
        <v>1D4BOx2y0gJ6IaGCUqBoJ6lOROpoXeUL7</v>
      </c>
      <c r="O11" s="4" t="str">
        <f>IF(SULIMA!O11="","",_xlfn.XLOOKUP(SULIMA!O11,'SULIMA ids'!$A$1:$A$21,'SULIMA ids'!$B$1:$B$21,""))</f>
        <v>1D4BOx2y0gJ6IaGCUqBoJ6lOROpoXeUL7</v>
      </c>
      <c r="P11" s="4" t="str">
        <f>IF(SULIMA!P11="","",_xlfn.XLOOKUP(SULIMA!P11,'SULIMA ids'!$A$1:$A$21,'SULIMA ids'!$B$1:$B$21,""))</f>
        <v>1ASTrMyT8BoZ1R3JFTD4faPJqC2wAwo-Z</v>
      </c>
      <c r="Q11" s="4" t="str">
        <f>IF(SULIMA!Q11="","",_xlfn.XLOOKUP(SULIMA!Q11,'SULIMA ids'!$A$1:$A$21,'SULIMA ids'!$B$1:$B$21,""))</f>
        <v>1D4BOx2y0gJ6IaGCUqBoJ6lOROpoXeUL7</v>
      </c>
      <c r="R11" s="4" t="str">
        <f>IF(SULIMA!R11="","",_xlfn.XLOOKUP(SULIMA!R11,'SULIMA ids'!$A$1:$A$21,'SULIMA ids'!$B$1:$B$21,""))</f>
        <v>1D4BOx2y0gJ6IaGCUqBoJ6lOROpoXeUL7</v>
      </c>
      <c r="S11" s="4" t="str">
        <f>IF(SULIMA!S11="","",_xlfn.XLOOKUP(SULIMA!S11,'SULIMA ids'!$A$1:$A$21,'SULIMA ids'!$B$1:$B$21,""))</f>
        <v>1ASTrMyT8BoZ1R3JFTD4faPJqC2wAwo-Z</v>
      </c>
      <c r="T11" s="4" t="str">
        <f>IF(SULIMA!T11="","",_xlfn.XLOOKUP(SULIMA!T11,'SULIMA ids'!$A$1:$A$21,'SULIMA ids'!$B$1:$B$21,""))</f>
        <v>1D4BOx2y0gJ6IaGCUqBoJ6lOROpoXeUL7</v>
      </c>
      <c r="U11" s="4" t="str">
        <f>IF(SULIMA!U11="","",_xlfn.XLOOKUP(SULIMA!U11,'SULIMA ids'!$A$1:$A$21,'SULIMA ids'!$B$1:$B$21,""))</f>
        <v>1D4VHUORJN08hK49qS1ZCEZ0CwV7aMR_h</v>
      </c>
      <c r="V11" s="4" t="str">
        <f>IF(SULIMA!V11="","",_xlfn.XLOOKUP(SULIMA!V11,'SULIMA ids'!$A$1:$A$21,'SULIMA ids'!$B$1:$B$21,""))</f>
        <v>1ugMOJqdYEXN530v90JNVR1Jm4CtWtFz5</v>
      </c>
      <c r="W11" s="4" t="str">
        <f>IF(SULIMA!W11="","",_xlfn.XLOOKUP(SULIMA!W11,'SULIMA ids'!$A$1:$A$21,'SULIMA ids'!$B$1:$B$21,""))</f>
        <v>1NT5GSrqVKJwtOsn6fTB5iZOyxdGqUWbh</v>
      </c>
    </row>
    <row r="12" spans="1:23" x14ac:dyDescent="0.25">
      <c r="A12" s="3" t="str">
        <f>SULIMA!A12</f>
        <v>Inspo</v>
      </c>
      <c r="B12" s="4" t="str">
        <f>IF(SULIMA!B12="","",_xlfn.XLOOKUP(SULIMA!B12,'SULIMA ids'!$A$1:$A$21,'SULIMA ids'!$B$1:$B$21,""))</f>
        <v>1oa1DjYEEwdm9wJQW8XDZUDk4jrqlG5QB</v>
      </c>
      <c r="C12" s="4" t="str">
        <f>IF(SULIMA!C12="","",_xlfn.XLOOKUP(SULIMA!C12,'SULIMA ids'!$A$1:$A$21,'SULIMA ids'!$B$1:$B$21,""))</f>
        <v>1oa1DjYEEwdm9wJQW8XDZUDk4jrqlG5QB</v>
      </c>
      <c r="D12" s="4" t="str">
        <f>IF(SULIMA!D12="","",_xlfn.XLOOKUP(SULIMA!D12,'SULIMA ids'!$A$1:$A$21,'SULIMA ids'!$B$1:$B$21,""))</f>
        <v>1oa1DjYEEwdm9wJQW8XDZUDk4jrqlG5QB</v>
      </c>
      <c r="E12" s="4" t="str">
        <f>IF(SULIMA!E12="","",_xlfn.XLOOKUP(SULIMA!E12,'SULIMA ids'!$A$1:$A$21,'SULIMA ids'!$B$1:$B$21,""))</f>
        <v>1oa1DjYEEwdm9wJQW8XDZUDk4jrqlG5QB</v>
      </c>
      <c r="F12" s="4" t="str">
        <f>IF(SULIMA!F12="","",_xlfn.XLOOKUP(SULIMA!F12,'SULIMA ids'!$A$1:$A$21,'SULIMA ids'!$B$1:$B$21,""))</f>
        <v>1oa1DjYEEwdm9wJQW8XDZUDk4jrqlG5QB</v>
      </c>
      <c r="G12" s="4" t="str">
        <f>IF(SULIMA!G12="","",_xlfn.XLOOKUP(SULIMA!G12,'SULIMA ids'!$A$1:$A$21,'SULIMA ids'!$B$1:$B$21,""))</f>
        <v>17eP1Ps9zdVPnVgQdYS3YuaFMui4sbtPi</v>
      </c>
      <c r="H12" s="4" t="str">
        <f>IF(SULIMA!H12="","",_xlfn.XLOOKUP(SULIMA!H12,'SULIMA ids'!$A$1:$A$21,'SULIMA ids'!$B$1:$B$21,""))</f>
        <v>1jibhxXBXsZUgsTYiudGBCjD7cdAILiiA</v>
      </c>
      <c r="I12" s="4" t="str">
        <f>IF(SULIMA!I12="","",_xlfn.XLOOKUP(SULIMA!I12,'SULIMA ids'!$A$1:$A$21,'SULIMA ids'!$B$1:$B$21,""))</f>
        <v>1Wxi1Qx2VmUJJRXaACsUpIwCwLL-MeLSh</v>
      </c>
      <c r="J12" s="4" t="str">
        <f>IF(SULIMA!J12="","",_xlfn.XLOOKUP(SULIMA!J12,'SULIMA ids'!$A$1:$A$21,'SULIMA ids'!$B$1:$B$21,""))</f>
        <v>1D4BOx2y0gJ6IaGCUqBoJ6lOROpoXeUL7</v>
      </c>
      <c r="K12" s="4" t="str">
        <f>IF(SULIMA!K12="","",_xlfn.XLOOKUP(SULIMA!K12,'SULIMA ids'!$A$1:$A$21,'SULIMA ids'!$B$1:$B$21,""))</f>
        <v>1D4BOx2y0gJ6IaGCUqBoJ6lOROpoXeUL7</v>
      </c>
      <c r="L12" s="4" t="str">
        <f>IF(SULIMA!L12="","",_xlfn.XLOOKUP(SULIMA!L12,'SULIMA ids'!$A$1:$A$21,'SULIMA ids'!$B$1:$B$21,""))</f>
        <v>17eP1Ps9zdVPnVgQdYS3YuaFMui4sbtPi</v>
      </c>
      <c r="M12" s="4" t="str">
        <f>IF(SULIMA!M12="","",_xlfn.XLOOKUP(SULIMA!M12,'SULIMA ids'!$A$1:$A$21,'SULIMA ids'!$B$1:$B$21,""))</f>
        <v>1Wwn62wgXvWL4xPfCsCRGLl2nGC6yMHnn</v>
      </c>
      <c r="N12" s="4" t="str">
        <f>IF(SULIMA!N12="","",_xlfn.XLOOKUP(SULIMA!N12,'SULIMA ids'!$A$1:$A$21,'SULIMA ids'!$B$1:$B$21,""))</f>
        <v>1oa1DjYEEwdm9wJQW8XDZUDk4jrqlG5QB</v>
      </c>
      <c r="O12" s="4" t="str">
        <f>IF(SULIMA!O12="","",_xlfn.XLOOKUP(SULIMA!O12,'SULIMA ids'!$A$1:$A$21,'SULIMA ids'!$B$1:$B$21,""))</f>
        <v>1oa1DjYEEwdm9wJQW8XDZUDk4jrqlG5QB</v>
      </c>
      <c r="P12" s="4" t="str">
        <f>IF(SULIMA!P12="","",_xlfn.XLOOKUP(SULIMA!P12,'SULIMA ids'!$A$1:$A$21,'SULIMA ids'!$B$1:$B$21,""))</f>
        <v>1ASTrMyT8BoZ1R3JFTD4faPJqC2wAwo-Z</v>
      </c>
      <c r="Q12" s="4" t="str">
        <f>IF(SULIMA!Q12="","",_xlfn.XLOOKUP(SULIMA!Q12,'SULIMA ids'!$A$1:$A$21,'SULIMA ids'!$B$1:$B$21,""))</f>
        <v>1D4BOx2y0gJ6IaGCUqBoJ6lOROpoXeUL7</v>
      </c>
      <c r="R12" s="4" t="str">
        <f>IF(SULIMA!R12="","",_xlfn.XLOOKUP(SULIMA!R12,'SULIMA ids'!$A$1:$A$21,'SULIMA ids'!$B$1:$B$21,""))</f>
        <v>1oa1DjYEEwdm9wJQW8XDZUDk4jrqlG5QB</v>
      </c>
      <c r="S12" s="4" t="str">
        <f>IF(SULIMA!S12="","",_xlfn.XLOOKUP(SULIMA!S12,'SULIMA ids'!$A$1:$A$21,'SULIMA ids'!$B$1:$B$21,""))</f>
        <v>1ASTrMyT8BoZ1R3JFTD4faPJqC2wAwo-Z</v>
      </c>
      <c r="T12" s="4" t="str">
        <f>IF(SULIMA!T12="","",_xlfn.XLOOKUP(SULIMA!T12,'SULIMA ids'!$A$1:$A$21,'SULIMA ids'!$B$1:$B$21,""))</f>
        <v>1oa1DjYEEwdm9wJQW8XDZUDk4jrqlG5QB</v>
      </c>
      <c r="U12" s="4" t="str">
        <f>IF(SULIMA!U12="","",_xlfn.XLOOKUP(SULIMA!U12,'SULIMA ids'!$A$1:$A$21,'SULIMA ids'!$B$1:$B$21,""))</f>
        <v>1D4VHUORJN08hK49qS1ZCEZ0CwV7aMR_h</v>
      </c>
      <c r="V12" s="4" t="str">
        <f>IF(SULIMA!V12="","",_xlfn.XLOOKUP(SULIMA!V12,'SULIMA ids'!$A$1:$A$21,'SULIMA ids'!$B$1:$B$21,""))</f>
        <v>1ugMOJqdYEXN530v90JNVR1Jm4CtWtFz5</v>
      </c>
      <c r="W12" s="4" t="str">
        <f>IF(SULIMA!W12="","",_xlfn.XLOOKUP(SULIMA!W12,'SULIMA ids'!$A$1:$A$21,'SULIMA ids'!$B$1:$B$21,""))</f>
        <v>1NT5GSrqVKJwtOsn6fTB5iZOyxdGqUWbh</v>
      </c>
    </row>
    <row r="13" spans="1:23" x14ac:dyDescent="0.25">
      <c r="A13" s="3" t="str">
        <f>SULIMA!A13</f>
        <v>Admin</v>
      </c>
      <c r="B13" s="4" t="str">
        <f>IF(SULIMA!B13="","",_xlfn.XLOOKUP(SULIMA!B13,'SULIMA ids'!$A$1:$A$21,'SULIMA ids'!$B$1:$B$21,""))</f>
        <v>1Wwn62wgXvWL4xPfCsCRGLl2nGC6yMHnn</v>
      </c>
      <c r="C13" s="4" t="str">
        <f>IF(SULIMA!C13="","",_xlfn.XLOOKUP(SULIMA!C13,'SULIMA ids'!$A$1:$A$21,'SULIMA ids'!$B$1:$B$21,""))</f>
        <v>1Wwn62wgXvWL4xPfCsCRGLl2nGC6yMHnn</v>
      </c>
      <c r="D13" s="4" t="str">
        <f>IF(SULIMA!D13="","",_xlfn.XLOOKUP(SULIMA!D13,'SULIMA ids'!$A$1:$A$21,'SULIMA ids'!$B$1:$B$21,""))</f>
        <v>1Wwn62wgXvWL4xPfCsCRGLl2nGC6yMHnn</v>
      </c>
      <c r="E13" s="4" t="str">
        <f>IF(SULIMA!E13="","",_xlfn.XLOOKUP(SULIMA!E13,'SULIMA ids'!$A$1:$A$21,'SULIMA ids'!$B$1:$B$21,""))</f>
        <v>1Wwn62wgXvWL4xPfCsCRGLl2nGC6yMHnn</v>
      </c>
      <c r="F13" s="4" t="str">
        <f>IF(SULIMA!F13="","",_xlfn.XLOOKUP(SULIMA!F13,'SULIMA ids'!$A$1:$A$21,'SULIMA ids'!$B$1:$B$21,""))</f>
        <v>1oa1DjYEEwdm9wJQW8XDZUDk4jrqlG5QB</v>
      </c>
      <c r="G13" s="4" t="str">
        <f>IF(SULIMA!G13="","",_xlfn.XLOOKUP(SULIMA!G13,'SULIMA ids'!$A$1:$A$21,'SULIMA ids'!$B$1:$B$21,""))</f>
        <v>1Wwn62wgXvWL4xPfCsCRGLl2nGC6yMHnn</v>
      </c>
      <c r="H13" s="4" t="str">
        <f>IF(SULIMA!H13="","",_xlfn.XLOOKUP(SULIMA!H13,'SULIMA ids'!$A$1:$A$21,'SULIMA ids'!$B$1:$B$21,""))</f>
        <v>1Wwn62wgXvWL4xPfCsCRGLl2nGC6yMHnn</v>
      </c>
      <c r="I13" s="4" t="str">
        <f>IF(SULIMA!I13="","",_xlfn.XLOOKUP(SULIMA!I13,'SULIMA ids'!$A$1:$A$21,'SULIMA ids'!$B$1:$B$21,""))</f>
        <v>1Wwn62wgXvWL4xPfCsCRGLl2nGC6yMHnn</v>
      </c>
      <c r="J13" s="4" t="str">
        <f>IF(SULIMA!J13="","",_xlfn.XLOOKUP(SULIMA!J13,'SULIMA ids'!$A$1:$A$21,'SULIMA ids'!$B$1:$B$21,""))</f>
        <v>1Wwn62wgXvWL4xPfCsCRGLl2nGC6yMHnn</v>
      </c>
      <c r="K13" s="4" t="str">
        <f>IF(SULIMA!K13="","",_xlfn.XLOOKUP(SULIMA!K13,'SULIMA ids'!$A$1:$A$21,'SULIMA ids'!$B$1:$B$21,""))</f>
        <v>1Wwn62wgXvWL4xPfCsCRGLl2nGC6yMHnn</v>
      </c>
      <c r="L13" s="4" t="str">
        <f>IF(SULIMA!L13="","",_xlfn.XLOOKUP(SULIMA!L13,'SULIMA ids'!$A$1:$A$21,'SULIMA ids'!$B$1:$B$21,""))</f>
        <v>1Wwn62wgXvWL4xPfCsCRGLl2nGC6yMHnn</v>
      </c>
      <c r="M13" s="4" t="str">
        <f>IF(SULIMA!M13="","",_xlfn.XLOOKUP(SULIMA!M13,'SULIMA ids'!$A$1:$A$21,'SULIMA ids'!$B$1:$B$21,""))</f>
        <v>1Wwn62wgXvWL4xPfCsCRGLl2nGC6yMHnn</v>
      </c>
      <c r="N13" s="4" t="str">
        <f>IF(SULIMA!N13="","",_xlfn.XLOOKUP(SULIMA!N13,'SULIMA ids'!$A$1:$A$21,'SULIMA ids'!$B$1:$B$21,""))</f>
        <v>1Wwn62wgXvWL4xPfCsCRGLl2nGC6yMHnn</v>
      </c>
      <c r="O13" s="4" t="str">
        <f>IF(SULIMA!O13="","",_xlfn.XLOOKUP(SULIMA!O13,'SULIMA ids'!$A$1:$A$21,'SULIMA ids'!$B$1:$B$21,""))</f>
        <v>1Wwn62wgXvWL4xPfCsCRGLl2nGC6yMHnn</v>
      </c>
      <c r="P13" s="4" t="str">
        <f>IF(SULIMA!P13="","",_xlfn.XLOOKUP(SULIMA!P13,'SULIMA ids'!$A$1:$A$21,'SULIMA ids'!$B$1:$B$21,""))</f>
        <v>1ASTrMyT8BoZ1R3JFTD4faPJqC2wAwo-Z</v>
      </c>
      <c r="Q13" s="4" t="str">
        <f>IF(SULIMA!Q13="","",_xlfn.XLOOKUP(SULIMA!Q13,'SULIMA ids'!$A$1:$A$21,'SULIMA ids'!$B$1:$B$21,""))</f>
        <v>1Wwn62wgXvWL4xPfCsCRGLl2nGC6yMHnn</v>
      </c>
      <c r="R13" s="4" t="str">
        <f>IF(SULIMA!R13="","",_xlfn.XLOOKUP(SULIMA!R13,'SULIMA ids'!$A$1:$A$21,'SULIMA ids'!$B$1:$B$21,""))</f>
        <v>1Wwn62wgXvWL4xPfCsCRGLl2nGC6yMHnn</v>
      </c>
      <c r="S13" s="4" t="str">
        <f>IF(SULIMA!S13="","",_xlfn.XLOOKUP(SULIMA!S13,'SULIMA ids'!$A$1:$A$21,'SULIMA ids'!$B$1:$B$21,""))</f>
        <v>1ASTrMyT8BoZ1R3JFTD4faPJqC2wAwo-Z</v>
      </c>
      <c r="T13" s="4" t="str">
        <f>IF(SULIMA!T13="","",_xlfn.XLOOKUP(SULIMA!T13,'SULIMA ids'!$A$1:$A$21,'SULIMA ids'!$B$1:$B$21,""))</f>
        <v>1Wwn62wgXvWL4xPfCsCRGLl2nGC6yMHnn</v>
      </c>
      <c r="U13" s="4" t="str">
        <f>IF(SULIMA!U13="","",_xlfn.XLOOKUP(SULIMA!U13,'SULIMA ids'!$A$1:$A$21,'SULIMA ids'!$B$1:$B$21,""))</f>
        <v>1D4VHUORJN08hK49qS1ZCEZ0CwV7aMR_h</v>
      </c>
      <c r="V13" s="4" t="str">
        <f>IF(SULIMA!V13="","",_xlfn.XLOOKUP(SULIMA!V13,'SULIMA ids'!$A$1:$A$21,'SULIMA ids'!$B$1:$B$21,""))</f>
        <v>1ugMOJqdYEXN530v90JNVR1Jm4CtWtFz5</v>
      </c>
      <c r="W13" s="4" t="str">
        <f>IF(SULIMA!W13="","",_xlfn.XLOOKUP(SULIMA!W13,'SULIMA ids'!$A$1:$A$21,'SULIMA ids'!$B$1:$B$21,""))</f>
        <v>1NT5GSrqVKJwtOsn6fTB5iZOyxdGqUWbh</v>
      </c>
    </row>
    <row r="14" spans="1:23" x14ac:dyDescent="0.25">
      <c r="A14" s="3" t="str">
        <f>SULIMA!A14</f>
        <v>Cover</v>
      </c>
      <c r="B14" s="4" t="str">
        <f>IF(SULIMA!B14="","",_xlfn.XLOOKUP(SULIMA!B14,'SULIMA ids'!$A$1:$A$21,'SULIMA ids'!$B$1:$B$21,""))</f>
        <v>1wXYsN253TZTVcBPueU0Ayy595L3WR3SH</v>
      </c>
      <c r="C14" s="4" t="str">
        <f>IF(SULIMA!C14="","",_xlfn.XLOOKUP(SULIMA!C14,'SULIMA ids'!$A$1:$A$21,'SULIMA ids'!$B$1:$B$21,""))</f>
        <v>1z-sFkqO7SWcgnPRxaJAk1jziLahxBLWo</v>
      </c>
      <c r="D14" s="4" t="str">
        <f>IF(SULIMA!D14="","",_xlfn.XLOOKUP(SULIMA!D14,'SULIMA ids'!$A$1:$A$21,'SULIMA ids'!$B$1:$B$21,""))</f>
        <v>1yF_yKsQkQwSwIIPflP8B1nITKy_4MrH1</v>
      </c>
      <c r="E14" s="4" t="str">
        <f>IF(SULIMA!E14="","",_xlfn.XLOOKUP(SULIMA!E14,'SULIMA ids'!$A$1:$A$21,'SULIMA ids'!$B$1:$B$21,""))</f>
        <v>1XVA06M6iqqw1tnHE74sTIg-4I-kQXmaC</v>
      </c>
      <c r="F14" s="4" t="str">
        <f>IF(SULIMA!F14="","",_xlfn.XLOOKUP(SULIMA!F14,'SULIMA ids'!$A$1:$A$21,'SULIMA ids'!$B$1:$B$21,""))</f>
        <v>1oa1DjYEEwdm9wJQW8XDZUDk4jrqlG5QB</v>
      </c>
      <c r="G14" s="4" t="str">
        <f>IF(SULIMA!G14="","",_xlfn.XLOOKUP(SULIMA!G14,'SULIMA ids'!$A$1:$A$21,'SULIMA ids'!$B$1:$B$21,""))</f>
        <v>17eP1Ps9zdVPnVgQdYS3YuaFMui4sbtPi</v>
      </c>
      <c r="H14" s="4" t="str">
        <f>IF(SULIMA!H14="","",_xlfn.XLOOKUP(SULIMA!H14,'SULIMA ids'!$A$1:$A$21,'SULIMA ids'!$B$1:$B$21,""))</f>
        <v>1jibhxXBXsZUgsTYiudGBCjD7cdAILiiA</v>
      </c>
      <c r="I14" s="4" t="str">
        <f>IF(SULIMA!I14="","",_xlfn.XLOOKUP(SULIMA!I14,'SULIMA ids'!$A$1:$A$21,'SULIMA ids'!$B$1:$B$21,""))</f>
        <v>1Wxi1Qx2VmUJJRXaACsUpIwCwLL-MeLSh</v>
      </c>
      <c r="J14" s="4" t="str">
        <f>IF(SULIMA!J14="","",_xlfn.XLOOKUP(SULIMA!J14,'SULIMA ids'!$A$1:$A$21,'SULIMA ids'!$B$1:$B$21,""))</f>
        <v>1D4BOx2y0gJ6IaGCUqBoJ6lOROpoXeUL7</v>
      </c>
      <c r="K14" s="4" t="str">
        <f>IF(SULIMA!K14="","",_xlfn.XLOOKUP(SULIMA!K14,'SULIMA ids'!$A$1:$A$21,'SULIMA ids'!$B$1:$B$21,""))</f>
        <v>1D4BOx2y0gJ6IaGCUqBoJ6lOROpoXeUL7</v>
      </c>
      <c r="L14" s="4" t="str">
        <f>IF(SULIMA!L14="","",_xlfn.XLOOKUP(SULIMA!L14,'SULIMA ids'!$A$1:$A$21,'SULIMA ids'!$B$1:$B$21,""))</f>
        <v>1oa1DjYEEwdm9wJQW8XDZUDk4jrqlG5QB</v>
      </c>
      <c r="M14" s="4" t="str">
        <f>IF(SULIMA!M14="","",_xlfn.XLOOKUP(SULIMA!M14,'SULIMA ids'!$A$1:$A$21,'SULIMA ids'!$B$1:$B$21,""))</f>
        <v>1Wwn62wgXvWL4xPfCsCRGLl2nGC6yMHnn</v>
      </c>
      <c r="N14" s="4" t="str">
        <f>IF(SULIMA!N14="","",_xlfn.XLOOKUP(SULIMA!N14,'SULIMA ids'!$A$1:$A$21,'SULIMA ids'!$B$1:$B$21,""))</f>
        <v>1R0aAzfFYL8pB08eBBG09IYcExjLDE6S1</v>
      </c>
      <c r="O14" s="4" t="str">
        <f>IF(SULIMA!O14="","",_xlfn.XLOOKUP(SULIMA!O14,'SULIMA ids'!$A$1:$A$21,'SULIMA ids'!$B$1:$B$21,""))</f>
        <v>1R0aAzfFYL8pB08eBBG09IYcExjLDE6S1</v>
      </c>
      <c r="P14" s="4" t="str">
        <f>IF(SULIMA!P14="","",_xlfn.XLOOKUP(SULIMA!P14,'SULIMA ids'!$A$1:$A$21,'SULIMA ids'!$B$1:$B$21,""))</f>
        <v>1ASTrMyT8BoZ1R3JFTD4faPJqC2wAwo-Z</v>
      </c>
      <c r="Q14" s="4" t="str">
        <f>IF(SULIMA!Q14="","",_xlfn.XLOOKUP(SULIMA!Q14,'SULIMA ids'!$A$1:$A$21,'SULIMA ids'!$B$1:$B$21,""))</f>
        <v>1D4BOx2y0gJ6IaGCUqBoJ6lOROpoXeUL7</v>
      </c>
      <c r="R14" s="4" t="str">
        <f>IF(SULIMA!R14="","",_xlfn.XLOOKUP(SULIMA!R14,'SULIMA ids'!$A$1:$A$21,'SULIMA ids'!$B$1:$B$21,""))</f>
        <v>1R0aAzfFYL8pB08eBBG09IYcExjLDE6S1</v>
      </c>
      <c r="S14" s="4" t="str">
        <f>IF(SULIMA!S14="","",_xlfn.XLOOKUP(SULIMA!S14,'SULIMA ids'!$A$1:$A$21,'SULIMA ids'!$B$1:$B$21,""))</f>
        <v>1ASTrMyT8BoZ1R3JFTD4faPJqC2wAwo-Z</v>
      </c>
      <c r="T14" s="4" t="str">
        <f>IF(SULIMA!T14="","",_xlfn.XLOOKUP(SULIMA!T14,'SULIMA ids'!$A$1:$A$21,'SULIMA ids'!$B$1:$B$21,""))</f>
        <v>1R0aAzfFYL8pB08eBBG09IYcExjLDE6S1</v>
      </c>
      <c r="U14" s="4" t="str">
        <f>IF(SULIMA!U14="","",_xlfn.XLOOKUP(SULIMA!U14,'SULIMA ids'!$A$1:$A$21,'SULIMA ids'!$B$1:$B$21,""))</f>
        <v>1D4VHUORJN08hK49qS1ZCEZ0CwV7aMR_h</v>
      </c>
      <c r="V14" s="4" t="str">
        <f>IF(SULIMA!V14="","",_xlfn.XLOOKUP(SULIMA!V14,'SULIMA ids'!$A$1:$A$21,'SULIMA ids'!$B$1:$B$21,""))</f>
        <v>1ugMOJqdYEXN530v90JNVR1Jm4CtWtFz5</v>
      </c>
      <c r="W14" s="4" t="str">
        <f>IF(SULIMA!W14="","",_xlfn.XLOOKUP(SULIMA!W14,'SULIMA ids'!$A$1:$A$21,'SULIMA ids'!$B$1:$B$21,""))</f>
        <v>1NT5GSrqVKJwtOsn6fTB5iZOyxdGqUWbh</v>
      </c>
    </row>
    <row r="15" spans="1:23" x14ac:dyDescent="0.25">
      <c r="A15" s="3" t="str">
        <f>SULIMA!A15</f>
        <v>Info</v>
      </c>
      <c r="B15" s="4" t="str">
        <f>IF(SULIMA!B15="","",_xlfn.XLOOKUP(SULIMA!B15,'SULIMA ids'!$A$1:$A$21,'SULIMA ids'!$B$1:$B$21,""))</f>
        <v>1wXYsN253TZTVcBPueU0Ayy595L3WR3SH</v>
      </c>
      <c r="C15" s="4" t="str">
        <f>IF(SULIMA!C15="","",_xlfn.XLOOKUP(SULIMA!C15,'SULIMA ids'!$A$1:$A$21,'SULIMA ids'!$B$1:$B$21,""))</f>
        <v>1z-sFkqO7SWcgnPRxaJAk1jziLahxBLWo</v>
      </c>
      <c r="D15" s="4" t="str">
        <f>IF(SULIMA!D15="","",_xlfn.XLOOKUP(SULIMA!D15,'SULIMA ids'!$A$1:$A$21,'SULIMA ids'!$B$1:$B$21,""))</f>
        <v>1yF_yKsQkQwSwIIPflP8B1nITKy_4MrH1</v>
      </c>
      <c r="E15" s="4" t="str">
        <f>IF(SULIMA!E15="","",_xlfn.XLOOKUP(SULIMA!E15,'SULIMA ids'!$A$1:$A$21,'SULIMA ids'!$B$1:$B$21,""))</f>
        <v>1XVA06M6iqqw1tnHE74sTIg-4I-kQXmaC</v>
      </c>
      <c r="F15" s="4" t="str">
        <f>IF(SULIMA!F15="","",_xlfn.XLOOKUP(SULIMA!F15,'SULIMA ids'!$A$1:$A$21,'SULIMA ids'!$B$1:$B$21,""))</f>
        <v>1oa1DjYEEwdm9wJQW8XDZUDk4jrqlG5QB</v>
      </c>
      <c r="G15" s="4" t="str">
        <f>IF(SULIMA!G15="","",_xlfn.XLOOKUP(SULIMA!G15,'SULIMA ids'!$A$1:$A$21,'SULIMA ids'!$B$1:$B$21,""))</f>
        <v>17eP1Ps9zdVPnVgQdYS3YuaFMui4sbtPi</v>
      </c>
      <c r="H15" s="4" t="str">
        <f>IF(SULIMA!H15="","",_xlfn.XLOOKUP(SULIMA!H15,'SULIMA ids'!$A$1:$A$21,'SULIMA ids'!$B$1:$B$21,""))</f>
        <v>1jibhxXBXsZUgsTYiudGBCjD7cdAILiiA</v>
      </c>
      <c r="I15" s="4" t="str">
        <f>IF(SULIMA!I15="","",_xlfn.XLOOKUP(SULIMA!I15,'SULIMA ids'!$A$1:$A$21,'SULIMA ids'!$B$1:$B$21,""))</f>
        <v>1Wxi1Qx2VmUJJRXaACsUpIwCwLL-MeLSh</v>
      </c>
      <c r="J15" s="4" t="str">
        <f>IF(SULIMA!J15="","",_xlfn.XLOOKUP(SULIMA!J15,'SULIMA ids'!$A$1:$A$21,'SULIMA ids'!$B$1:$B$21,""))</f>
        <v>1D4BOx2y0gJ6IaGCUqBoJ6lOROpoXeUL7</v>
      </c>
      <c r="K15" s="4" t="str">
        <f>IF(SULIMA!K15="","",_xlfn.XLOOKUP(SULIMA!K15,'SULIMA ids'!$A$1:$A$21,'SULIMA ids'!$B$1:$B$21,""))</f>
        <v>1D4BOx2y0gJ6IaGCUqBoJ6lOROpoXeUL7</v>
      </c>
      <c r="L15" s="4" t="str">
        <f>IF(SULIMA!L15="","",_xlfn.XLOOKUP(SULIMA!L15,'SULIMA ids'!$A$1:$A$21,'SULIMA ids'!$B$1:$B$21,""))</f>
        <v>1oa1DjYEEwdm9wJQW8XDZUDk4jrqlG5QB</v>
      </c>
      <c r="M15" s="4" t="str">
        <f>IF(SULIMA!M15="","",_xlfn.XLOOKUP(SULIMA!M15,'SULIMA ids'!$A$1:$A$21,'SULIMA ids'!$B$1:$B$21,""))</f>
        <v>1Wwn62wgXvWL4xPfCsCRGLl2nGC6yMHnn</v>
      </c>
      <c r="N15" s="4" t="str">
        <f>IF(SULIMA!N15="","",_xlfn.XLOOKUP(SULIMA!N15,'SULIMA ids'!$A$1:$A$21,'SULIMA ids'!$B$1:$B$21,""))</f>
        <v>1R0aAzfFYL8pB08eBBG09IYcExjLDE6S1</v>
      </c>
      <c r="O15" s="4" t="str">
        <f>IF(SULIMA!O15="","",_xlfn.XLOOKUP(SULIMA!O15,'SULIMA ids'!$A$1:$A$21,'SULIMA ids'!$B$1:$B$21,""))</f>
        <v>1Wwn62wgXvWL4xPfCsCRGLl2nGC6yMHnn</v>
      </c>
      <c r="P15" s="4" t="str">
        <f>IF(SULIMA!P15="","",_xlfn.XLOOKUP(SULIMA!P15,'SULIMA ids'!$A$1:$A$21,'SULIMA ids'!$B$1:$B$21,""))</f>
        <v>1ASTrMyT8BoZ1R3JFTD4faPJqC2wAwo-Z</v>
      </c>
      <c r="Q15" s="4" t="str">
        <f>IF(SULIMA!Q15="","",_xlfn.XLOOKUP(SULIMA!Q15,'SULIMA ids'!$A$1:$A$21,'SULIMA ids'!$B$1:$B$21,""))</f>
        <v>1D4BOx2y0gJ6IaGCUqBoJ6lOROpoXeUL7</v>
      </c>
      <c r="R15" s="4" t="str">
        <f>IF(SULIMA!R15="","",_xlfn.XLOOKUP(SULIMA!R15,'SULIMA ids'!$A$1:$A$21,'SULIMA ids'!$B$1:$B$21,""))</f>
        <v>1R0aAzfFYL8pB08eBBG09IYcExjLDE6S1</v>
      </c>
      <c r="S15" s="4" t="str">
        <f>IF(SULIMA!S15="","",_xlfn.XLOOKUP(SULIMA!S15,'SULIMA ids'!$A$1:$A$21,'SULIMA ids'!$B$1:$B$21,""))</f>
        <v>1ASTrMyT8BoZ1R3JFTD4faPJqC2wAwo-Z</v>
      </c>
      <c r="T15" s="4" t="str">
        <f>IF(SULIMA!T15="","",_xlfn.XLOOKUP(SULIMA!T15,'SULIMA ids'!$A$1:$A$21,'SULIMA ids'!$B$1:$B$21,""))</f>
        <v>1R0aAzfFYL8pB08eBBG09IYcExjLDE6S1</v>
      </c>
      <c r="U15" s="4" t="str">
        <f>IF(SULIMA!U15="","",_xlfn.XLOOKUP(SULIMA!U15,'SULIMA ids'!$A$1:$A$21,'SULIMA ids'!$B$1:$B$21,""))</f>
        <v>1D4VHUORJN08hK49qS1ZCEZ0CwV7aMR_h</v>
      </c>
      <c r="V15" s="4" t="str">
        <f>IF(SULIMA!V15="","",_xlfn.XLOOKUP(SULIMA!V15,'SULIMA ids'!$A$1:$A$21,'SULIMA ids'!$B$1:$B$21,""))</f>
        <v>1ugMOJqdYEXN530v90JNVR1Jm4CtWtFz5</v>
      </c>
      <c r="W15" s="4" t="str">
        <f>IF(SULIMA!W15="","",_xlfn.XLOOKUP(SULIMA!W15,'SULIMA ids'!$A$1:$A$21,'SULIMA ids'!$B$1:$B$21,""))</f>
        <v>1NT5GSrqVKJwtOsn6fTB5iZOyxdGqUWbh</v>
      </c>
    </row>
    <row r="16" spans="1:23" x14ac:dyDescent="0.25">
      <c r="A16" s="3" t="str">
        <f>SULIMA!A16</f>
        <v>Backup</v>
      </c>
      <c r="B16" s="4" t="str">
        <f>IF(SULIMA!B16="","",_xlfn.XLOOKUP(SULIMA!B16,'SULIMA ids'!$A$1:$A$21,'SULIMA ids'!$B$1:$B$21,""))</f>
        <v>1ASTrMyT8BoZ1R3JFTD4faPJqC2wAwo-Z</v>
      </c>
      <c r="C16" s="4" t="str">
        <f>IF(SULIMA!C16="","",_xlfn.XLOOKUP(SULIMA!C16,'SULIMA ids'!$A$1:$A$21,'SULIMA ids'!$B$1:$B$21,""))</f>
        <v>1ASTrMyT8BoZ1R3JFTD4faPJqC2wAwo-Z</v>
      </c>
      <c r="D16" s="4" t="str">
        <f>IF(SULIMA!D16="","",_xlfn.XLOOKUP(SULIMA!D16,'SULIMA ids'!$A$1:$A$21,'SULIMA ids'!$B$1:$B$21,""))</f>
        <v>1ASTrMyT8BoZ1R3JFTD4faPJqC2wAwo-Z</v>
      </c>
      <c r="E16" s="4" t="str">
        <f>IF(SULIMA!E16="","",_xlfn.XLOOKUP(SULIMA!E16,'SULIMA ids'!$A$1:$A$21,'SULIMA ids'!$B$1:$B$21,""))</f>
        <v>1ASTrMyT8BoZ1R3JFTD4faPJqC2wAwo-Z</v>
      </c>
      <c r="F16" s="4" t="str">
        <f>IF(SULIMA!F16="","",_xlfn.XLOOKUP(SULIMA!F16,'SULIMA ids'!$A$1:$A$21,'SULIMA ids'!$B$1:$B$21,""))</f>
        <v>1oa1DjYEEwdm9wJQW8XDZUDk4jrqlG5QB</v>
      </c>
      <c r="G16" s="4" t="str">
        <f>IF(SULIMA!G16="","",_xlfn.XLOOKUP(SULIMA!G16,'SULIMA ids'!$A$1:$A$21,'SULIMA ids'!$B$1:$B$21,""))</f>
        <v>1ASTrMyT8BoZ1R3JFTD4faPJqC2wAwo-Z</v>
      </c>
      <c r="H16" s="4" t="str">
        <f>IF(SULIMA!H16="","",_xlfn.XLOOKUP(SULIMA!H16,'SULIMA ids'!$A$1:$A$21,'SULIMA ids'!$B$1:$B$21,""))</f>
        <v>1ASTrMyT8BoZ1R3JFTD4faPJqC2wAwo-Z</v>
      </c>
      <c r="I16" s="4" t="str">
        <f>IF(SULIMA!I16="","",_xlfn.XLOOKUP(SULIMA!I16,'SULIMA ids'!$A$1:$A$21,'SULIMA ids'!$B$1:$B$21,""))</f>
        <v>1ASTrMyT8BoZ1R3JFTD4faPJqC2wAwo-Z</v>
      </c>
      <c r="J16" s="4" t="str">
        <f>IF(SULIMA!J16="","",_xlfn.XLOOKUP(SULIMA!J16,'SULIMA ids'!$A$1:$A$21,'SULIMA ids'!$B$1:$B$21,""))</f>
        <v>1ASTrMyT8BoZ1R3JFTD4faPJqC2wAwo-Z</v>
      </c>
      <c r="K16" s="4" t="str">
        <f>IF(SULIMA!K16="","",_xlfn.XLOOKUP(SULIMA!K16,'SULIMA ids'!$A$1:$A$21,'SULIMA ids'!$B$1:$B$21,""))</f>
        <v>1ASTrMyT8BoZ1R3JFTD4faPJqC2wAwo-Z</v>
      </c>
      <c r="L16" s="4" t="str">
        <f>IF(SULIMA!L16="","",_xlfn.XLOOKUP(SULIMA!L16,'SULIMA ids'!$A$1:$A$21,'SULIMA ids'!$B$1:$B$21,""))</f>
        <v>1ASTrMyT8BoZ1R3JFTD4faPJqC2wAwo-Z</v>
      </c>
      <c r="M16" s="4" t="str">
        <f>IF(SULIMA!M16="","",_xlfn.XLOOKUP(SULIMA!M16,'SULIMA ids'!$A$1:$A$21,'SULIMA ids'!$B$1:$B$21,""))</f>
        <v>1ASTrMyT8BoZ1R3JFTD4faPJqC2wAwo-Z</v>
      </c>
      <c r="N16" s="4" t="str">
        <f>IF(SULIMA!N16="","",_xlfn.XLOOKUP(SULIMA!N16,'SULIMA ids'!$A$1:$A$21,'SULIMA ids'!$B$1:$B$21,""))</f>
        <v>1ASTrMyT8BoZ1R3JFTD4faPJqC2wAwo-Z</v>
      </c>
      <c r="O16" s="4" t="str">
        <f>IF(SULIMA!O16="","",_xlfn.XLOOKUP(SULIMA!O16,'SULIMA ids'!$A$1:$A$21,'SULIMA ids'!$B$1:$B$21,""))</f>
        <v>1ASTrMyT8BoZ1R3JFTD4faPJqC2wAwo-Z</v>
      </c>
      <c r="P16" s="4" t="str">
        <f>IF(SULIMA!P16="","",_xlfn.XLOOKUP(SULIMA!P16,'SULIMA ids'!$A$1:$A$21,'SULIMA ids'!$B$1:$B$21,""))</f>
        <v>1ASTrMyT8BoZ1R3JFTD4faPJqC2wAwo-Z</v>
      </c>
      <c r="Q16" s="4" t="str">
        <f>IF(SULIMA!Q16="","",_xlfn.XLOOKUP(SULIMA!Q16,'SULIMA ids'!$A$1:$A$21,'SULIMA ids'!$B$1:$B$21,""))</f>
        <v>1ASTrMyT8BoZ1R3JFTD4faPJqC2wAwo-Z</v>
      </c>
      <c r="R16" s="4" t="str">
        <f>IF(SULIMA!R16="","",_xlfn.XLOOKUP(SULIMA!R16,'SULIMA ids'!$A$1:$A$21,'SULIMA ids'!$B$1:$B$21,""))</f>
        <v>1ASTrMyT8BoZ1R3JFTD4faPJqC2wAwo-Z</v>
      </c>
      <c r="S16" s="4" t="str">
        <f>IF(SULIMA!S16="","",_xlfn.XLOOKUP(SULIMA!S16,'SULIMA ids'!$A$1:$A$21,'SULIMA ids'!$B$1:$B$21,""))</f>
        <v>1ASTrMyT8BoZ1R3JFTD4faPJqC2wAwo-Z</v>
      </c>
      <c r="T16" s="4" t="str">
        <f>IF(SULIMA!T16="","",_xlfn.XLOOKUP(SULIMA!T16,'SULIMA ids'!$A$1:$A$21,'SULIMA ids'!$B$1:$B$21,""))</f>
        <v>1ASTrMyT8BoZ1R3JFTD4faPJqC2wAwo-Z</v>
      </c>
      <c r="U16" s="4" t="str">
        <f>IF(SULIMA!U16="","",_xlfn.XLOOKUP(SULIMA!U16,'SULIMA ids'!$A$1:$A$21,'SULIMA ids'!$B$1:$B$21,""))</f>
        <v>1D4VHUORJN08hK49qS1ZCEZ0CwV7aMR_h</v>
      </c>
      <c r="V16" s="4" t="str">
        <f>IF(SULIMA!V16="","",_xlfn.XLOOKUP(SULIMA!V16,'SULIMA ids'!$A$1:$A$21,'SULIMA ids'!$B$1:$B$21,""))</f>
        <v>1ASTrMyT8BoZ1R3JFTD4faPJqC2wAwo-Z</v>
      </c>
      <c r="W16" s="4" t="str">
        <f>IF(SULIMA!W16="","",_xlfn.XLOOKUP(SULIMA!W16,'SULIMA ids'!$A$1:$A$21,'SULIMA ids'!$B$1:$B$21,""))</f>
        <v>1ASTrMyT8BoZ1R3JFTD4faPJqC2wAwo-Z</v>
      </c>
    </row>
    <row r="17" spans="1:23" x14ac:dyDescent="0.25">
      <c r="A17" s="3" t="str">
        <f>SULIMA!A17</f>
        <v>Headshot</v>
      </c>
      <c r="B17" s="4" t="str">
        <f>IF(SULIMA!B17="","",_xlfn.XLOOKUP(SULIMA!B17,'SULIMA ids'!$A$1:$A$21,'SULIMA ids'!$B$1:$B$21,""))</f>
        <v>1D4BOx2y0gJ6IaGCUqBoJ6lOROpoXeUL7</v>
      </c>
      <c r="C17" s="4" t="str">
        <f>IF(SULIMA!C17="","",_xlfn.XLOOKUP(SULIMA!C17,'SULIMA ids'!$A$1:$A$21,'SULIMA ids'!$B$1:$B$21,""))</f>
        <v>1D4BOx2y0gJ6IaGCUqBoJ6lOROpoXeUL7</v>
      </c>
      <c r="D17" s="4" t="str">
        <f>IF(SULIMA!D17="","",_xlfn.XLOOKUP(SULIMA!D17,'SULIMA ids'!$A$1:$A$21,'SULIMA ids'!$B$1:$B$21,""))</f>
        <v>1D4BOx2y0gJ6IaGCUqBoJ6lOROpoXeUL7</v>
      </c>
      <c r="E17" s="4" t="str">
        <f>IF(SULIMA!E17="","",_xlfn.XLOOKUP(SULIMA!E17,'SULIMA ids'!$A$1:$A$21,'SULIMA ids'!$B$1:$B$21,""))</f>
        <v>1D4BOx2y0gJ6IaGCUqBoJ6lOROpoXeUL7</v>
      </c>
      <c r="F17" s="4" t="str">
        <f>IF(SULIMA!F17="","",_xlfn.XLOOKUP(SULIMA!F17,'SULIMA ids'!$A$1:$A$21,'SULIMA ids'!$B$1:$B$21,""))</f>
        <v>1oa1DjYEEwdm9wJQW8XDZUDk4jrqlG5QB</v>
      </c>
      <c r="G17" s="4" t="str">
        <f>IF(SULIMA!G17="","",_xlfn.XLOOKUP(SULIMA!G17,'SULIMA ids'!$A$1:$A$21,'SULIMA ids'!$B$1:$B$21,""))</f>
        <v>1D4BOx2y0gJ6IaGCUqBoJ6lOROpoXeUL7</v>
      </c>
      <c r="H17" s="4" t="str">
        <f>IF(SULIMA!H17="","",_xlfn.XLOOKUP(SULIMA!H17,'SULIMA ids'!$A$1:$A$21,'SULIMA ids'!$B$1:$B$21,""))</f>
        <v>1D4BOx2y0gJ6IaGCUqBoJ6lOROpoXeUL7</v>
      </c>
      <c r="I17" s="4" t="str">
        <f>IF(SULIMA!I17="","",_xlfn.XLOOKUP(SULIMA!I17,'SULIMA ids'!$A$1:$A$21,'SULIMA ids'!$B$1:$B$21,""))</f>
        <v>1D4BOx2y0gJ6IaGCUqBoJ6lOROpoXeUL7</v>
      </c>
      <c r="J17" s="4" t="str">
        <f>IF(SULIMA!J17="","",_xlfn.XLOOKUP(SULIMA!J17,'SULIMA ids'!$A$1:$A$21,'SULIMA ids'!$B$1:$B$21,""))</f>
        <v>1D4BOx2y0gJ6IaGCUqBoJ6lOROpoXeUL7</v>
      </c>
      <c r="K17" s="4" t="str">
        <f>IF(SULIMA!K17="","",_xlfn.XLOOKUP(SULIMA!K17,'SULIMA ids'!$A$1:$A$21,'SULIMA ids'!$B$1:$B$21,""))</f>
        <v>1D4BOx2y0gJ6IaGCUqBoJ6lOROpoXeUL7</v>
      </c>
      <c r="L17" s="4" t="str">
        <f>IF(SULIMA!L17="","",_xlfn.XLOOKUP(SULIMA!L17,'SULIMA ids'!$A$1:$A$21,'SULIMA ids'!$B$1:$B$21,""))</f>
        <v>1D4BOx2y0gJ6IaGCUqBoJ6lOROpoXeUL7</v>
      </c>
      <c r="M17" s="4" t="str">
        <f>IF(SULIMA!M17="","",_xlfn.XLOOKUP(SULIMA!M17,'SULIMA ids'!$A$1:$A$21,'SULIMA ids'!$B$1:$B$21,""))</f>
        <v>1Wwn62wgXvWL4xPfCsCRGLl2nGC6yMHnn</v>
      </c>
      <c r="N17" s="4" t="str">
        <f>IF(SULIMA!N17="","",_xlfn.XLOOKUP(SULIMA!N17,'SULIMA ids'!$A$1:$A$21,'SULIMA ids'!$B$1:$B$21,""))</f>
        <v>1D4BOx2y0gJ6IaGCUqBoJ6lOROpoXeUL7</v>
      </c>
      <c r="O17" s="4" t="str">
        <f>IF(SULIMA!O17="","",_xlfn.XLOOKUP(SULIMA!O17,'SULIMA ids'!$A$1:$A$21,'SULIMA ids'!$B$1:$B$21,""))</f>
        <v>1D4BOx2y0gJ6IaGCUqBoJ6lOROpoXeUL7</v>
      </c>
      <c r="P17" s="4" t="str">
        <f>IF(SULIMA!P17="","",_xlfn.XLOOKUP(SULIMA!P17,'SULIMA ids'!$A$1:$A$21,'SULIMA ids'!$B$1:$B$21,""))</f>
        <v>1ASTrMyT8BoZ1R3JFTD4faPJqC2wAwo-Z</v>
      </c>
      <c r="Q17" s="4" t="str">
        <f>IF(SULIMA!Q17="","",_xlfn.XLOOKUP(SULIMA!Q17,'SULIMA ids'!$A$1:$A$21,'SULIMA ids'!$B$1:$B$21,""))</f>
        <v>1D4BOx2y0gJ6IaGCUqBoJ6lOROpoXeUL7</v>
      </c>
      <c r="R17" s="4" t="str">
        <f>IF(SULIMA!R17="","",_xlfn.XLOOKUP(SULIMA!R17,'SULIMA ids'!$A$1:$A$21,'SULIMA ids'!$B$1:$B$21,""))</f>
        <v>1D4BOx2y0gJ6IaGCUqBoJ6lOROpoXeUL7</v>
      </c>
      <c r="S17" s="4" t="str">
        <f>IF(SULIMA!S17="","",_xlfn.XLOOKUP(SULIMA!S17,'SULIMA ids'!$A$1:$A$21,'SULIMA ids'!$B$1:$B$21,""))</f>
        <v>1ASTrMyT8BoZ1R3JFTD4faPJqC2wAwo-Z</v>
      </c>
      <c r="T17" s="4" t="str">
        <f>IF(SULIMA!T17="","",_xlfn.XLOOKUP(SULIMA!T17,'SULIMA ids'!$A$1:$A$21,'SULIMA ids'!$B$1:$B$21,""))</f>
        <v>1D4BOx2y0gJ6IaGCUqBoJ6lOROpoXeUL7</v>
      </c>
      <c r="U17" s="4" t="str">
        <f>IF(SULIMA!U17="","",_xlfn.XLOOKUP(SULIMA!U17,'SULIMA ids'!$A$1:$A$21,'SULIMA ids'!$B$1:$B$21,""))</f>
        <v>1D4VHUORJN08hK49qS1ZCEZ0CwV7aMR_h</v>
      </c>
      <c r="V17" s="4" t="str">
        <f>IF(SULIMA!V17="","",_xlfn.XLOOKUP(SULIMA!V17,'SULIMA ids'!$A$1:$A$21,'SULIMA ids'!$B$1:$B$21,""))</f>
        <v>1ugMOJqdYEXN530v90JNVR1Jm4CtWtFz5</v>
      </c>
      <c r="W17" s="4" t="str">
        <f>IF(SULIMA!W17="","",_xlfn.XLOOKUP(SULIMA!W17,'SULIMA ids'!$A$1:$A$21,'SULIMA ids'!$B$1:$B$21,""))</f>
        <v>1NT5GSrqVKJwtOsn6fTB5iZOyxdGqUWbh</v>
      </c>
    </row>
    <row r="18" spans="1:23" x14ac:dyDescent="0.25">
      <c r="A18" s="3" t="str">
        <f>SULIMA!A18</f>
        <v>Interior</v>
      </c>
      <c r="B18" s="4" t="str">
        <f>IF(SULIMA!B18="","",_xlfn.XLOOKUP(SULIMA!B18,'SULIMA ids'!$A$1:$A$21,'SULIMA ids'!$B$1:$B$21,""))</f>
        <v>1wXYsN253TZTVcBPueU0Ayy595L3WR3SH</v>
      </c>
      <c r="C18" s="4" t="str">
        <f>IF(SULIMA!C18="","",_xlfn.XLOOKUP(SULIMA!C18,'SULIMA ids'!$A$1:$A$21,'SULIMA ids'!$B$1:$B$21,""))</f>
        <v>1z-sFkqO7SWcgnPRxaJAk1jziLahxBLWo</v>
      </c>
      <c r="D18" s="4" t="str">
        <f>IF(SULIMA!D18="","",_xlfn.XLOOKUP(SULIMA!D18,'SULIMA ids'!$A$1:$A$21,'SULIMA ids'!$B$1:$B$21,""))</f>
        <v>1yF_yKsQkQwSwIIPflP8B1nITKy_4MrH1</v>
      </c>
      <c r="E18" s="4" t="str">
        <f>IF(SULIMA!E18="","",_xlfn.XLOOKUP(SULIMA!E18,'SULIMA ids'!$A$1:$A$21,'SULIMA ids'!$B$1:$B$21,""))</f>
        <v>1XVA06M6iqqw1tnHE74sTIg-4I-kQXmaC</v>
      </c>
      <c r="F18" s="4" t="str">
        <f>IF(SULIMA!F18="","",_xlfn.XLOOKUP(SULIMA!F18,'SULIMA ids'!$A$1:$A$21,'SULIMA ids'!$B$1:$B$21,""))</f>
        <v>1oa1DjYEEwdm9wJQW8XDZUDk4jrqlG5QB</v>
      </c>
      <c r="G18" s="4" t="str">
        <f>IF(SULIMA!G18="","",_xlfn.XLOOKUP(SULIMA!G18,'SULIMA ids'!$A$1:$A$21,'SULIMA ids'!$B$1:$B$21,""))</f>
        <v>17eP1Ps9zdVPnVgQdYS3YuaFMui4sbtPi</v>
      </c>
      <c r="H18" s="4" t="str">
        <f>IF(SULIMA!H18="","",_xlfn.XLOOKUP(SULIMA!H18,'SULIMA ids'!$A$1:$A$21,'SULIMA ids'!$B$1:$B$21,""))</f>
        <v>1jibhxXBXsZUgsTYiudGBCjD7cdAILiiA</v>
      </c>
      <c r="I18" s="4" t="str">
        <f>IF(SULIMA!I18="","",_xlfn.XLOOKUP(SULIMA!I18,'SULIMA ids'!$A$1:$A$21,'SULIMA ids'!$B$1:$B$21,""))</f>
        <v>1Wxi1Qx2VmUJJRXaACsUpIwCwLL-MeLSh</v>
      </c>
      <c r="J18" s="4" t="str">
        <f>IF(SULIMA!J18="","",_xlfn.XLOOKUP(SULIMA!J18,'SULIMA ids'!$A$1:$A$21,'SULIMA ids'!$B$1:$B$21,""))</f>
        <v>1D4BOx2y0gJ6IaGCUqBoJ6lOROpoXeUL7</v>
      </c>
      <c r="K18" s="4" t="str">
        <f>IF(SULIMA!K18="","",_xlfn.XLOOKUP(SULIMA!K18,'SULIMA ids'!$A$1:$A$21,'SULIMA ids'!$B$1:$B$21,""))</f>
        <v>1D4BOx2y0gJ6IaGCUqBoJ6lOROpoXeUL7</v>
      </c>
      <c r="L18" s="4" t="str">
        <f>IF(SULIMA!L18="","",_xlfn.XLOOKUP(SULIMA!L18,'SULIMA ids'!$A$1:$A$21,'SULIMA ids'!$B$1:$B$21,""))</f>
        <v>1oa1DjYEEwdm9wJQW8XDZUDk4jrqlG5QB</v>
      </c>
      <c r="M18" s="4" t="str">
        <f>IF(SULIMA!M18="","",_xlfn.XLOOKUP(SULIMA!M18,'SULIMA ids'!$A$1:$A$21,'SULIMA ids'!$B$1:$B$21,""))</f>
        <v>1Wwn62wgXvWL4xPfCsCRGLl2nGC6yMHnn</v>
      </c>
      <c r="N18" s="4" t="str">
        <f>IF(SULIMA!N18="","",_xlfn.XLOOKUP(SULIMA!N18,'SULIMA ids'!$A$1:$A$21,'SULIMA ids'!$B$1:$B$21,""))</f>
        <v>1R0aAzfFYL8pB08eBBG09IYcExjLDE6S1</v>
      </c>
      <c r="O18" s="4" t="str">
        <f>IF(SULIMA!O18="","",_xlfn.XLOOKUP(SULIMA!O18,'SULIMA ids'!$A$1:$A$21,'SULIMA ids'!$B$1:$B$21,""))</f>
        <v>1R0aAzfFYL8pB08eBBG09IYcExjLDE6S1</v>
      </c>
      <c r="P18" s="4" t="str">
        <f>IF(SULIMA!P18="","",_xlfn.XLOOKUP(SULIMA!P18,'SULIMA ids'!$A$1:$A$21,'SULIMA ids'!$B$1:$B$21,""))</f>
        <v>1ASTrMyT8BoZ1R3JFTD4faPJqC2wAwo-Z</v>
      </c>
      <c r="Q18" s="4" t="str">
        <f>IF(SULIMA!Q18="","",_xlfn.XLOOKUP(SULIMA!Q18,'SULIMA ids'!$A$1:$A$21,'SULIMA ids'!$B$1:$B$21,""))</f>
        <v>1D4BOx2y0gJ6IaGCUqBoJ6lOROpoXeUL7</v>
      </c>
      <c r="R18" s="4" t="str">
        <f>IF(SULIMA!R18="","",_xlfn.XLOOKUP(SULIMA!R18,'SULIMA ids'!$A$1:$A$21,'SULIMA ids'!$B$1:$B$21,""))</f>
        <v>1R0aAzfFYL8pB08eBBG09IYcExjLDE6S1</v>
      </c>
      <c r="S18" s="4" t="str">
        <f>IF(SULIMA!S18="","",_xlfn.XLOOKUP(SULIMA!S18,'SULIMA ids'!$A$1:$A$21,'SULIMA ids'!$B$1:$B$21,""))</f>
        <v>1ASTrMyT8BoZ1R3JFTD4faPJqC2wAwo-Z</v>
      </c>
      <c r="T18" s="4" t="str">
        <f>IF(SULIMA!T18="","",_xlfn.XLOOKUP(SULIMA!T18,'SULIMA ids'!$A$1:$A$21,'SULIMA ids'!$B$1:$B$21,""))</f>
        <v>1R0aAzfFYL8pB08eBBG09IYcExjLDE6S1</v>
      </c>
      <c r="U18" s="4" t="str">
        <f>IF(SULIMA!U18="","",_xlfn.XLOOKUP(SULIMA!U18,'SULIMA ids'!$A$1:$A$21,'SULIMA ids'!$B$1:$B$21,""))</f>
        <v>1D4VHUORJN08hK49qS1ZCEZ0CwV7aMR_h</v>
      </c>
      <c r="V18" s="4" t="str">
        <f>IF(SULIMA!V18="","",_xlfn.XLOOKUP(SULIMA!V18,'SULIMA ids'!$A$1:$A$21,'SULIMA ids'!$B$1:$B$21,""))</f>
        <v>1ugMOJqdYEXN530v90JNVR1Jm4CtWtFz5</v>
      </c>
      <c r="W18" s="4" t="str">
        <f>IF(SULIMA!W18="","",_xlfn.XLOOKUP(SULIMA!W18,'SULIMA ids'!$A$1:$A$21,'SULIMA ids'!$B$1:$B$21,""))</f>
        <v>1NT5GSrqVKJwtOsn6fTB5iZOyxdGqUWbh</v>
      </c>
    </row>
    <row r="19" spans="1:23" x14ac:dyDescent="0.25">
      <c r="A19" s="3" t="str">
        <f>SULIMA!A19</f>
        <v>OLD</v>
      </c>
      <c r="B19" s="4" t="str">
        <f>IF(SULIMA!B19="","",_xlfn.XLOOKUP(SULIMA!B19,'SULIMA ids'!$A$1:$A$21,'SULIMA ids'!$B$1:$B$21,""))</f>
        <v>1ASTrMyT8BoZ1R3JFTD4faPJqC2wAwo-Z</v>
      </c>
      <c r="C19" s="4" t="str">
        <f>IF(SULIMA!C19="","",_xlfn.XLOOKUP(SULIMA!C19,'SULIMA ids'!$A$1:$A$21,'SULIMA ids'!$B$1:$B$21,""))</f>
        <v>1ASTrMyT8BoZ1R3JFTD4faPJqC2wAwo-Z</v>
      </c>
      <c r="D19" s="4" t="str">
        <f>IF(SULIMA!D19="","",_xlfn.XLOOKUP(SULIMA!D19,'SULIMA ids'!$A$1:$A$21,'SULIMA ids'!$B$1:$B$21,""))</f>
        <v>1ASTrMyT8BoZ1R3JFTD4faPJqC2wAwo-Z</v>
      </c>
      <c r="E19" s="4" t="str">
        <f>IF(SULIMA!E19="","",_xlfn.XLOOKUP(SULIMA!E19,'SULIMA ids'!$A$1:$A$21,'SULIMA ids'!$B$1:$B$21,""))</f>
        <v>1ASTrMyT8BoZ1R3JFTD4faPJqC2wAwo-Z</v>
      </c>
      <c r="F19" s="4" t="str">
        <f>IF(SULIMA!F19="","",_xlfn.XLOOKUP(SULIMA!F19,'SULIMA ids'!$A$1:$A$21,'SULIMA ids'!$B$1:$B$21,""))</f>
        <v>1ASTrMyT8BoZ1R3JFTD4faPJqC2wAwo-Z</v>
      </c>
      <c r="G19" s="4" t="str">
        <f>IF(SULIMA!G19="","",_xlfn.XLOOKUP(SULIMA!G19,'SULIMA ids'!$A$1:$A$21,'SULIMA ids'!$B$1:$B$21,""))</f>
        <v>1ASTrMyT8BoZ1R3JFTD4faPJqC2wAwo-Z</v>
      </c>
      <c r="H19" s="4" t="str">
        <f>IF(SULIMA!H19="","",_xlfn.XLOOKUP(SULIMA!H19,'SULIMA ids'!$A$1:$A$21,'SULIMA ids'!$B$1:$B$21,""))</f>
        <v>1ASTrMyT8BoZ1R3JFTD4faPJqC2wAwo-Z</v>
      </c>
      <c r="I19" s="4" t="str">
        <f>IF(SULIMA!I19="","",_xlfn.XLOOKUP(SULIMA!I19,'SULIMA ids'!$A$1:$A$21,'SULIMA ids'!$B$1:$B$21,""))</f>
        <v>1ASTrMyT8BoZ1R3JFTD4faPJqC2wAwo-Z</v>
      </c>
      <c r="J19" s="4" t="str">
        <f>IF(SULIMA!J19="","",_xlfn.XLOOKUP(SULIMA!J19,'SULIMA ids'!$A$1:$A$21,'SULIMA ids'!$B$1:$B$21,""))</f>
        <v>1ASTrMyT8BoZ1R3JFTD4faPJqC2wAwo-Z</v>
      </c>
      <c r="K19" s="4" t="str">
        <f>IF(SULIMA!K19="","",_xlfn.XLOOKUP(SULIMA!K19,'SULIMA ids'!$A$1:$A$21,'SULIMA ids'!$B$1:$B$21,""))</f>
        <v>1ASTrMyT8BoZ1R3JFTD4faPJqC2wAwo-Z</v>
      </c>
      <c r="L19" s="4" t="str">
        <f>IF(SULIMA!L19="","",_xlfn.XLOOKUP(SULIMA!L19,'SULIMA ids'!$A$1:$A$21,'SULIMA ids'!$B$1:$B$21,""))</f>
        <v>1ASTrMyT8BoZ1R3JFTD4faPJqC2wAwo-Z</v>
      </c>
      <c r="M19" s="4" t="str">
        <f>IF(SULIMA!M19="","",_xlfn.XLOOKUP(SULIMA!M19,'SULIMA ids'!$A$1:$A$21,'SULIMA ids'!$B$1:$B$21,""))</f>
        <v>1ASTrMyT8BoZ1R3JFTD4faPJqC2wAwo-Z</v>
      </c>
      <c r="N19" s="4" t="str">
        <f>IF(SULIMA!N19="","",_xlfn.XLOOKUP(SULIMA!N19,'SULIMA ids'!$A$1:$A$21,'SULIMA ids'!$B$1:$B$21,""))</f>
        <v>1ASTrMyT8BoZ1R3JFTD4faPJqC2wAwo-Z</v>
      </c>
      <c r="O19" s="4" t="str">
        <f>IF(SULIMA!O19="","",_xlfn.XLOOKUP(SULIMA!O19,'SULIMA ids'!$A$1:$A$21,'SULIMA ids'!$B$1:$B$21,""))</f>
        <v>1ASTrMyT8BoZ1R3JFTD4faPJqC2wAwo-Z</v>
      </c>
      <c r="P19" s="4" t="str">
        <f>IF(SULIMA!P19="","",_xlfn.XLOOKUP(SULIMA!P19,'SULIMA ids'!$A$1:$A$21,'SULIMA ids'!$B$1:$B$21,""))</f>
        <v>1ASTrMyT8BoZ1R3JFTD4faPJqC2wAwo-Z</v>
      </c>
      <c r="Q19" s="4" t="str">
        <f>IF(SULIMA!Q19="","",_xlfn.XLOOKUP(SULIMA!Q19,'SULIMA ids'!$A$1:$A$21,'SULIMA ids'!$B$1:$B$21,""))</f>
        <v>1ASTrMyT8BoZ1R3JFTD4faPJqC2wAwo-Z</v>
      </c>
      <c r="R19" s="4" t="str">
        <f>IF(SULIMA!R19="","",_xlfn.XLOOKUP(SULIMA!R19,'SULIMA ids'!$A$1:$A$21,'SULIMA ids'!$B$1:$B$21,""))</f>
        <v>1ASTrMyT8BoZ1R3JFTD4faPJqC2wAwo-Z</v>
      </c>
      <c r="S19" s="4" t="str">
        <f>IF(SULIMA!S19="","",_xlfn.XLOOKUP(SULIMA!S19,'SULIMA ids'!$A$1:$A$21,'SULIMA ids'!$B$1:$B$21,""))</f>
        <v>1ASTrMyT8BoZ1R3JFTD4faPJqC2wAwo-Z</v>
      </c>
      <c r="T19" s="4" t="str">
        <f>IF(SULIMA!T19="","",_xlfn.XLOOKUP(SULIMA!T19,'SULIMA ids'!$A$1:$A$21,'SULIMA ids'!$B$1:$B$21,""))</f>
        <v>1ASTrMyT8BoZ1R3JFTD4faPJqC2wAwo-Z</v>
      </c>
      <c r="U19" s="4" t="str">
        <f>IF(SULIMA!U19="","",_xlfn.XLOOKUP(SULIMA!U19,'SULIMA ids'!$A$1:$A$21,'SULIMA ids'!$B$1:$B$21,""))</f>
        <v>1ASTrMyT8BoZ1R3JFTD4faPJqC2wAwo-Z</v>
      </c>
      <c r="V19" s="4" t="str">
        <f>IF(SULIMA!V19="","",_xlfn.XLOOKUP(SULIMA!V19,'SULIMA ids'!$A$1:$A$21,'SULIMA ids'!$B$1:$B$21,""))</f>
        <v>1ASTrMyT8BoZ1R3JFTD4faPJqC2wAwo-Z</v>
      </c>
      <c r="W19" s="4" t="str">
        <f>IF(SULIMA!W19="","",_xlfn.XLOOKUP(SULIMA!W19,'SULIMA ids'!$A$1:$A$21,'SULIMA ids'!$B$1:$B$21,""))</f>
        <v>1ASTrMyT8BoZ1R3JFTD4faPJqC2wAwo-Z</v>
      </c>
    </row>
    <row r="20" spans="1:23" x14ac:dyDescent="0.25">
      <c r="A20" s="3" t="str">
        <f>SULIMA!A20</f>
        <v>Video</v>
      </c>
      <c r="B20" s="4" t="str">
        <f>IF(SULIMA!B20="","",_xlfn.XLOOKUP(SULIMA!B20,'SULIMA ids'!$A$1:$A$21,'SULIMA ids'!$B$1:$B$21,""))</f>
        <v>1wXYsN253TZTVcBPueU0Ayy595L3WR3SH</v>
      </c>
      <c r="C20" s="4" t="str">
        <f>IF(SULIMA!C20="","",_xlfn.XLOOKUP(SULIMA!C20,'SULIMA ids'!$A$1:$A$21,'SULIMA ids'!$B$1:$B$21,""))</f>
        <v>1z-sFkqO7SWcgnPRxaJAk1jziLahxBLWo</v>
      </c>
      <c r="D20" s="4" t="str">
        <f>IF(SULIMA!D20="","",_xlfn.XLOOKUP(SULIMA!D20,'SULIMA ids'!$A$1:$A$21,'SULIMA ids'!$B$1:$B$21,""))</f>
        <v>1yF_yKsQkQwSwIIPflP8B1nITKy_4MrH1</v>
      </c>
      <c r="E20" s="4" t="str">
        <f>IF(SULIMA!E20="","",_xlfn.XLOOKUP(SULIMA!E20,'SULIMA ids'!$A$1:$A$21,'SULIMA ids'!$B$1:$B$21,""))</f>
        <v>1XVA06M6iqqw1tnHE74sTIg-4I-kQXmaC</v>
      </c>
      <c r="F20" s="4" t="str">
        <f>IF(SULIMA!F20="","",_xlfn.XLOOKUP(SULIMA!F20,'SULIMA ids'!$A$1:$A$21,'SULIMA ids'!$B$1:$B$21,""))</f>
        <v>1oa1DjYEEwdm9wJQW8XDZUDk4jrqlG5QB</v>
      </c>
      <c r="G20" s="4" t="str">
        <f>IF(SULIMA!G20="","",_xlfn.XLOOKUP(SULIMA!G20,'SULIMA ids'!$A$1:$A$21,'SULIMA ids'!$B$1:$B$21,""))</f>
        <v>17eP1Ps9zdVPnVgQdYS3YuaFMui4sbtPi</v>
      </c>
      <c r="H20" s="4" t="str">
        <f>IF(SULIMA!H20="","",_xlfn.XLOOKUP(SULIMA!H20,'SULIMA ids'!$A$1:$A$21,'SULIMA ids'!$B$1:$B$21,""))</f>
        <v>1jibhxXBXsZUgsTYiudGBCjD7cdAILiiA</v>
      </c>
      <c r="I20" s="4" t="str">
        <f>IF(SULIMA!I20="","",_xlfn.XLOOKUP(SULIMA!I20,'SULIMA ids'!$A$1:$A$21,'SULIMA ids'!$B$1:$B$21,""))</f>
        <v>1Wxi1Qx2VmUJJRXaACsUpIwCwLL-MeLSh</v>
      </c>
      <c r="J20" s="4" t="str">
        <f>IF(SULIMA!J20="","",_xlfn.XLOOKUP(SULIMA!J20,'SULIMA ids'!$A$1:$A$21,'SULIMA ids'!$B$1:$B$21,""))</f>
        <v>1D4BOx2y0gJ6IaGCUqBoJ6lOROpoXeUL7</v>
      </c>
      <c r="K20" s="4" t="str">
        <f>IF(SULIMA!K20="","",_xlfn.XLOOKUP(SULIMA!K20,'SULIMA ids'!$A$1:$A$21,'SULIMA ids'!$B$1:$B$21,""))</f>
        <v>1D4BOx2y0gJ6IaGCUqBoJ6lOROpoXeUL7</v>
      </c>
      <c r="L20" s="4" t="str">
        <f>IF(SULIMA!L20="","",_xlfn.XLOOKUP(SULIMA!L20,'SULIMA ids'!$A$1:$A$21,'SULIMA ids'!$B$1:$B$21,""))</f>
        <v>1oa1DjYEEwdm9wJQW8XDZUDk4jrqlG5QB</v>
      </c>
      <c r="M20" s="4" t="str">
        <f>IF(SULIMA!M20="","",_xlfn.XLOOKUP(SULIMA!M20,'SULIMA ids'!$A$1:$A$21,'SULIMA ids'!$B$1:$B$21,""))</f>
        <v>1Wwn62wgXvWL4xPfCsCRGLl2nGC6yMHnn</v>
      </c>
      <c r="N20" s="4" t="str">
        <f>IF(SULIMA!N20="","",_xlfn.XLOOKUP(SULIMA!N20,'SULIMA ids'!$A$1:$A$21,'SULIMA ids'!$B$1:$B$21,""))</f>
        <v>1R0aAzfFYL8pB08eBBG09IYcExjLDE6S1</v>
      </c>
      <c r="O20" s="4" t="str">
        <f>IF(SULIMA!O20="","",_xlfn.XLOOKUP(SULIMA!O20,'SULIMA ids'!$A$1:$A$21,'SULIMA ids'!$B$1:$B$21,""))</f>
        <v>1R0aAzfFYL8pB08eBBG09IYcExjLDE6S1</v>
      </c>
      <c r="P20" s="4" t="str">
        <f>IF(SULIMA!P20="","",_xlfn.XLOOKUP(SULIMA!P20,'SULIMA ids'!$A$1:$A$21,'SULIMA ids'!$B$1:$B$21,""))</f>
        <v>1ASTrMyT8BoZ1R3JFTD4faPJqC2wAwo-Z</v>
      </c>
      <c r="Q20" s="4" t="str">
        <f>IF(SULIMA!Q20="","",_xlfn.XLOOKUP(SULIMA!Q20,'SULIMA ids'!$A$1:$A$21,'SULIMA ids'!$B$1:$B$21,""))</f>
        <v>1D4BOx2y0gJ6IaGCUqBoJ6lOROpoXeUL7</v>
      </c>
      <c r="R20" s="4" t="str">
        <f>IF(SULIMA!R20="","",_xlfn.XLOOKUP(SULIMA!R20,'SULIMA ids'!$A$1:$A$21,'SULIMA ids'!$B$1:$B$21,""))</f>
        <v>1R0aAzfFYL8pB08eBBG09IYcExjLDE6S1</v>
      </c>
      <c r="S20" s="4" t="str">
        <f>IF(SULIMA!S20="","",_xlfn.XLOOKUP(SULIMA!S20,'SULIMA ids'!$A$1:$A$21,'SULIMA ids'!$B$1:$B$21,""))</f>
        <v>1ASTrMyT8BoZ1R3JFTD4faPJqC2wAwo-Z</v>
      </c>
      <c r="T20" s="4" t="str">
        <f>IF(SULIMA!T20="","",_xlfn.XLOOKUP(SULIMA!T20,'SULIMA ids'!$A$1:$A$21,'SULIMA ids'!$B$1:$B$21,""))</f>
        <v>17eP1Ps9zdVPnVgQdYS3YuaFMui4sbtPi</v>
      </c>
      <c r="U20" s="4" t="str">
        <f>IF(SULIMA!U20="","",_xlfn.XLOOKUP(SULIMA!U20,'SULIMA ids'!$A$1:$A$21,'SULIMA ids'!$B$1:$B$21,""))</f>
        <v>1D4VHUORJN08hK49qS1ZCEZ0CwV7aMR_h</v>
      </c>
      <c r="V20" s="4" t="str">
        <f>IF(SULIMA!V20="","",_xlfn.XLOOKUP(SULIMA!V20,'SULIMA ids'!$A$1:$A$21,'SULIMA ids'!$B$1:$B$21,""))</f>
        <v>1ugMOJqdYEXN530v90JNVR1Jm4CtWtFz5</v>
      </c>
      <c r="W20" s="4" t="str">
        <f>IF(SULIMA!W20="","",_xlfn.XLOOKUP(SULIMA!W20,'SULIMA ids'!$A$1:$A$21,'SULIMA ids'!$B$1:$B$21,""))</f>
        <v>1NT5GSrqVKJwtOsn6fTB5iZOyxdGqUWbh</v>
      </c>
    </row>
    <row r="21" spans="1:23" x14ac:dyDescent="0.25">
      <c r="A21" s="3" t="str">
        <f>SULIMA!A21</f>
        <v>PSD</v>
      </c>
      <c r="B21" s="4" t="str">
        <f>IF(SULIMA!B21="","",_xlfn.XLOOKUP(SULIMA!B21,'SULIMA ids'!$A$1:$A$21,'SULIMA ids'!$B$1:$B$21,""))</f>
        <v>1D4VHUORJN08hK49qS1ZCEZ0CwV7aMR_h</v>
      </c>
      <c r="C21" s="4" t="str">
        <f>IF(SULIMA!C21="","",_xlfn.XLOOKUP(SULIMA!C21,'SULIMA ids'!$A$1:$A$21,'SULIMA ids'!$B$1:$B$21,""))</f>
        <v>1D4VHUORJN08hK49qS1ZCEZ0CwV7aMR_h</v>
      </c>
      <c r="D21" s="4" t="str">
        <f>IF(SULIMA!D21="","",_xlfn.XLOOKUP(SULIMA!D21,'SULIMA ids'!$A$1:$A$21,'SULIMA ids'!$B$1:$B$21,""))</f>
        <v>1D4VHUORJN08hK49qS1ZCEZ0CwV7aMR_h</v>
      </c>
      <c r="E21" s="4" t="str">
        <f>IF(SULIMA!E21="","",_xlfn.XLOOKUP(SULIMA!E21,'SULIMA ids'!$A$1:$A$21,'SULIMA ids'!$B$1:$B$21,""))</f>
        <v>1D4VHUORJN08hK49qS1ZCEZ0CwV7aMR_h</v>
      </c>
      <c r="F21" s="4" t="str">
        <f>IF(SULIMA!F21="","",_xlfn.XLOOKUP(SULIMA!F21,'SULIMA ids'!$A$1:$A$21,'SULIMA ids'!$B$1:$B$21,""))</f>
        <v>1oa1DjYEEwdm9wJQW8XDZUDk4jrqlG5QB</v>
      </c>
      <c r="G21" s="4" t="str">
        <f>IF(SULIMA!G21="","",_xlfn.XLOOKUP(SULIMA!G21,'SULIMA ids'!$A$1:$A$21,'SULIMA ids'!$B$1:$B$21,""))</f>
        <v>1D4VHUORJN08hK49qS1ZCEZ0CwV7aMR_h</v>
      </c>
      <c r="H21" s="4" t="str">
        <f>IF(SULIMA!H21="","",_xlfn.XLOOKUP(SULIMA!H21,'SULIMA ids'!$A$1:$A$21,'SULIMA ids'!$B$1:$B$21,""))</f>
        <v>1D4VHUORJN08hK49qS1ZCEZ0CwV7aMR_h</v>
      </c>
      <c r="I21" s="4" t="str">
        <f>IF(SULIMA!I21="","",_xlfn.XLOOKUP(SULIMA!I21,'SULIMA ids'!$A$1:$A$21,'SULIMA ids'!$B$1:$B$21,""))</f>
        <v>1D4VHUORJN08hK49qS1ZCEZ0CwV7aMR_h</v>
      </c>
      <c r="J21" s="4" t="str">
        <f>IF(SULIMA!J21="","",_xlfn.XLOOKUP(SULIMA!J21,'SULIMA ids'!$A$1:$A$21,'SULIMA ids'!$B$1:$B$21,""))</f>
        <v>1D4VHUORJN08hK49qS1ZCEZ0CwV7aMR_h</v>
      </c>
      <c r="K21" s="4" t="str">
        <f>IF(SULIMA!K21="","",_xlfn.XLOOKUP(SULIMA!K21,'SULIMA ids'!$A$1:$A$21,'SULIMA ids'!$B$1:$B$21,""))</f>
        <v>1D4VHUORJN08hK49qS1ZCEZ0CwV7aMR_h</v>
      </c>
      <c r="L21" s="4" t="str">
        <f>IF(SULIMA!L21="","",_xlfn.XLOOKUP(SULIMA!L21,'SULIMA ids'!$A$1:$A$21,'SULIMA ids'!$B$1:$B$21,""))</f>
        <v>1D4VHUORJN08hK49qS1ZCEZ0CwV7aMR_h</v>
      </c>
      <c r="M21" s="4" t="str">
        <f>IF(SULIMA!M21="","",_xlfn.XLOOKUP(SULIMA!M21,'SULIMA ids'!$A$1:$A$21,'SULIMA ids'!$B$1:$B$21,""))</f>
        <v>1D4VHUORJN08hK49qS1ZCEZ0CwV7aMR_h</v>
      </c>
      <c r="N21" s="4" t="str">
        <f>IF(SULIMA!N21="","",_xlfn.XLOOKUP(SULIMA!N21,'SULIMA ids'!$A$1:$A$21,'SULIMA ids'!$B$1:$B$21,""))</f>
        <v>1D4VHUORJN08hK49qS1ZCEZ0CwV7aMR_h</v>
      </c>
      <c r="O21" s="4" t="str">
        <f>IF(SULIMA!O21="","",_xlfn.XLOOKUP(SULIMA!O21,'SULIMA ids'!$A$1:$A$21,'SULIMA ids'!$B$1:$B$21,""))</f>
        <v>1D4VHUORJN08hK49qS1ZCEZ0CwV7aMR_h</v>
      </c>
      <c r="P21" s="4" t="str">
        <f>IF(SULIMA!P21="","",_xlfn.XLOOKUP(SULIMA!P21,'SULIMA ids'!$A$1:$A$21,'SULIMA ids'!$B$1:$B$21,""))</f>
        <v>1D4VHUORJN08hK49qS1ZCEZ0CwV7aMR_h</v>
      </c>
      <c r="Q21" s="4" t="str">
        <f>IF(SULIMA!Q21="","",_xlfn.XLOOKUP(SULIMA!Q21,'SULIMA ids'!$A$1:$A$21,'SULIMA ids'!$B$1:$B$21,""))</f>
        <v>1D4VHUORJN08hK49qS1ZCEZ0CwV7aMR_h</v>
      </c>
      <c r="R21" s="4" t="str">
        <f>IF(SULIMA!R21="","",_xlfn.XLOOKUP(SULIMA!R21,'SULIMA ids'!$A$1:$A$21,'SULIMA ids'!$B$1:$B$21,""))</f>
        <v>1D4VHUORJN08hK49qS1ZCEZ0CwV7aMR_h</v>
      </c>
      <c r="S21" s="4" t="str">
        <f>IF(SULIMA!S21="","",_xlfn.XLOOKUP(SULIMA!S21,'SULIMA ids'!$A$1:$A$21,'SULIMA ids'!$B$1:$B$21,""))</f>
        <v>1ASTrMyT8BoZ1R3JFTD4faPJqC2wAwo-Z</v>
      </c>
      <c r="T21" s="4" t="str">
        <f>IF(SULIMA!T21="","",_xlfn.XLOOKUP(SULIMA!T21,'SULIMA ids'!$A$1:$A$21,'SULIMA ids'!$B$1:$B$21,""))</f>
        <v>1D4VHUORJN08hK49qS1ZCEZ0CwV7aMR_h</v>
      </c>
      <c r="U21" s="4" t="str">
        <f>IF(SULIMA!U21="","",_xlfn.XLOOKUP(SULIMA!U21,'SULIMA ids'!$A$1:$A$21,'SULIMA ids'!$B$1:$B$21,""))</f>
        <v>1D4VHUORJN08hK49qS1ZCEZ0CwV7aMR_h</v>
      </c>
      <c r="V21" s="4" t="str">
        <f>IF(SULIMA!V21="","",_xlfn.XLOOKUP(SULIMA!V21,'SULIMA ids'!$A$1:$A$21,'SULIMA ids'!$B$1:$B$21,""))</f>
        <v>1D4VHUORJN08hK49qS1ZCEZ0CwV7aMR_h</v>
      </c>
      <c r="W21" s="4" t="str">
        <f>IF(SULIMA!W21="","",_xlfn.XLOOKUP(SULIMA!W21,'SULIMA ids'!$A$1:$A$21,'SULIMA ids'!$B$1:$B$21,""))</f>
        <v>1D4VHUORJN08hK49qS1ZCEZ0CwV7aMR_h</v>
      </c>
    </row>
    <row r="22" spans="1:23" x14ac:dyDescent="0.25">
      <c r="A22" s="3" t="str">
        <f>SULIMA!A22</f>
        <v>Featured-image</v>
      </c>
      <c r="B22" s="4" t="str">
        <f>IF(SULIMA!B22="","",_xlfn.XLOOKUP(SULIMA!B22,'SULIMA ids'!$A$1:$A$21,'SULIMA ids'!$B$1:$B$21,""))</f>
        <v>1ugMOJqdYEXN530v90JNVR1Jm4CtWtFz5</v>
      </c>
      <c r="C22" s="4" t="str">
        <f>IF(SULIMA!C22="","",_xlfn.XLOOKUP(SULIMA!C22,'SULIMA ids'!$A$1:$A$21,'SULIMA ids'!$B$1:$B$21,""))</f>
        <v>1ugMOJqdYEXN530v90JNVR1Jm4CtWtFz5</v>
      </c>
      <c r="D22" s="4" t="str">
        <f>IF(SULIMA!D22="","",_xlfn.XLOOKUP(SULIMA!D22,'SULIMA ids'!$A$1:$A$21,'SULIMA ids'!$B$1:$B$21,""))</f>
        <v>1ugMOJqdYEXN530v90JNVR1Jm4CtWtFz5</v>
      </c>
      <c r="E22" s="4" t="str">
        <f>IF(SULIMA!E22="","",_xlfn.XLOOKUP(SULIMA!E22,'SULIMA ids'!$A$1:$A$21,'SULIMA ids'!$B$1:$B$21,""))</f>
        <v>1ugMOJqdYEXN530v90JNVR1Jm4CtWtFz5</v>
      </c>
      <c r="F22" s="4" t="str">
        <f>IF(SULIMA!F22="","",_xlfn.XLOOKUP(SULIMA!F22,'SULIMA ids'!$A$1:$A$21,'SULIMA ids'!$B$1:$B$21,""))</f>
        <v>1oa1DjYEEwdm9wJQW8XDZUDk4jrqlG5QB</v>
      </c>
      <c r="G22" s="4" t="str">
        <f>IF(SULIMA!G22="","",_xlfn.XLOOKUP(SULIMA!G22,'SULIMA ids'!$A$1:$A$21,'SULIMA ids'!$B$1:$B$21,""))</f>
        <v>1ugMOJqdYEXN530v90JNVR1Jm4CtWtFz5</v>
      </c>
      <c r="H22" s="4" t="str">
        <f>IF(SULIMA!H22="","",_xlfn.XLOOKUP(SULIMA!H22,'SULIMA ids'!$A$1:$A$21,'SULIMA ids'!$B$1:$B$21,""))</f>
        <v>1ugMOJqdYEXN530v90JNVR1Jm4CtWtFz5</v>
      </c>
      <c r="I22" s="4" t="str">
        <f>IF(SULIMA!I22="","",_xlfn.XLOOKUP(SULIMA!I22,'SULIMA ids'!$A$1:$A$21,'SULIMA ids'!$B$1:$B$21,""))</f>
        <v>1ugMOJqdYEXN530v90JNVR1Jm4CtWtFz5</v>
      </c>
      <c r="J22" s="4" t="str">
        <f>IF(SULIMA!J22="","",_xlfn.XLOOKUP(SULIMA!J22,'SULIMA ids'!$A$1:$A$21,'SULIMA ids'!$B$1:$B$21,""))</f>
        <v>1ugMOJqdYEXN530v90JNVR1Jm4CtWtFz5</v>
      </c>
      <c r="K22" s="4" t="str">
        <f>IF(SULIMA!K22="","",_xlfn.XLOOKUP(SULIMA!K22,'SULIMA ids'!$A$1:$A$21,'SULIMA ids'!$B$1:$B$21,""))</f>
        <v>1ugMOJqdYEXN530v90JNVR1Jm4CtWtFz5</v>
      </c>
      <c r="L22" s="4" t="str">
        <f>IF(SULIMA!L22="","",_xlfn.XLOOKUP(SULIMA!L22,'SULIMA ids'!$A$1:$A$21,'SULIMA ids'!$B$1:$B$21,""))</f>
        <v>1ugMOJqdYEXN530v90JNVR1Jm4CtWtFz5</v>
      </c>
      <c r="M22" s="4" t="str">
        <f>IF(SULIMA!M22="","",_xlfn.XLOOKUP(SULIMA!M22,'SULIMA ids'!$A$1:$A$21,'SULIMA ids'!$B$1:$B$21,""))</f>
        <v>1ugMOJqdYEXN530v90JNVR1Jm4CtWtFz5</v>
      </c>
      <c r="N22" s="4" t="str">
        <f>IF(SULIMA!N22="","",_xlfn.XLOOKUP(SULIMA!N22,'SULIMA ids'!$A$1:$A$21,'SULIMA ids'!$B$1:$B$21,""))</f>
        <v>1ugMOJqdYEXN530v90JNVR1Jm4CtWtFz5</v>
      </c>
      <c r="O22" s="4" t="str">
        <f>IF(SULIMA!O22="","",_xlfn.XLOOKUP(SULIMA!O22,'SULIMA ids'!$A$1:$A$21,'SULIMA ids'!$B$1:$B$21,""))</f>
        <v>1ugMOJqdYEXN530v90JNVR1Jm4CtWtFz5</v>
      </c>
      <c r="P22" s="4" t="str">
        <f>IF(SULIMA!P22="","",_xlfn.XLOOKUP(SULIMA!P22,'SULIMA ids'!$A$1:$A$21,'SULIMA ids'!$B$1:$B$21,""))</f>
        <v>1ASTrMyT8BoZ1R3JFTD4faPJqC2wAwo-Z</v>
      </c>
      <c r="Q22" s="4" t="str">
        <f>IF(SULIMA!Q22="","",_xlfn.XLOOKUP(SULIMA!Q22,'SULIMA ids'!$A$1:$A$21,'SULIMA ids'!$B$1:$B$21,""))</f>
        <v>1ugMOJqdYEXN530v90JNVR1Jm4CtWtFz5</v>
      </c>
      <c r="R22" s="4" t="str">
        <f>IF(SULIMA!R22="","",_xlfn.XLOOKUP(SULIMA!R22,'SULIMA ids'!$A$1:$A$21,'SULIMA ids'!$B$1:$B$21,""))</f>
        <v>1ugMOJqdYEXN530v90JNVR1Jm4CtWtFz5</v>
      </c>
      <c r="S22" s="4" t="str">
        <f>IF(SULIMA!S22="","",_xlfn.XLOOKUP(SULIMA!S22,'SULIMA ids'!$A$1:$A$21,'SULIMA ids'!$B$1:$B$21,""))</f>
        <v>1ASTrMyT8BoZ1R3JFTD4faPJqC2wAwo-Z</v>
      </c>
      <c r="T22" s="4" t="str">
        <f>IF(SULIMA!T22="","",_xlfn.XLOOKUP(SULIMA!T22,'SULIMA ids'!$A$1:$A$21,'SULIMA ids'!$B$1:$B$21,""))</f>
        <v>1ugMOJqdYEXN530v90JNVR1Jm4CtWtFz5</v>
      </c>
      <c r="U22" s="4" t="str">
        <f>IF(SULIMA!U22="","",_xlfn.XLOOKUP(SULIMA!U22,'SULIMA ids'!$A$1:$A$21,'SULIMA ids'!$B$1:$B$21,""))</f>
        <v>1D4VHUORJN08hK49qS1ZCEZ0CwV7aMR_h</v>
      </c>
      <c r="V22" s="4" t="str">
        <f>IF(SULIMA!V22="","",_xlfn.XLOOKUP(SULIMA!V22,'SULIMA ids'!$A$1:$A$21,'SULIMA ids'!$B$1:$B$21,""))</f>
        <v>1ugMOJqdYEXN530v90JNVR1Jm4CtWtFz5</v>
      </c>
      <c r="W22" s="4" t="str">
        <f>IF(SULIMA!W22="","",_xlfn.XLOOKUP(SULIMA!W22,'SULIMA ids'!$A$1:$A$21,'SULIMA ids'!$B$1:$B$21,""))</f>
        <v>1ugMOJqdYEXN530v90JNVR1Jm4CtWtFz5</v>
      </c>
    </row>
    <row r="23" spans="1:23" x14ac:dyDescent="0.25">
      <c r="A23" s="3" t="str">
        <f>SULIMA!A23</f>
        <v>Social-image</v>
      </c>
      <c r="B23" s="4" t="str">
        <f>IF(SULIMA!B23="","",_xlfn.XLOOKUP(SULIMA!B23,'SULIMA ids'!$A$1:$A$21,'SULIMA ids'!$B$1:$B$21,""))</f>
        <v>1NT5GSrqVKJwtOsn6fTB5iZOyxdGqUWbh</v>
      </c>
      <c r="C23" s="4" t="str">
        <f>IF(SULIMA!C23="","",_xlfn.XLOOKUP(SULIMA!C23,'SULIMA ids'!$A$1:$A$21,'SULIMA ids'!$B$1:$B$21,""))</f>
        <v>1NT5GSrqVKJwtOsn6fTB5iZOyxdGqUWbh</v>
      </c>
      <c r="D23" s="4" t="str">
        <f>IF(SULIMA!D23="","",_xlfn.XLOOKUP(SULIMA!D23,'SULIMA ids'!$A$1:$A$21,'SULIMA ids'!$B$1:$B$21,""))</f>
        <v>1NT5GSrqVKJwtOsn6fTB5iZOyxdGqUWbh</v>
      </c>
      <c r="E23" s="4" t="str">
        <f>IF(SULIMA!E23="","",_xlfn.XLOOKUP(SULIMA!E23,'SULIMA ids'!$A$1:$A$21,'SULIMA ids'!$B$1:$B$21,""))</f>
        <v>1NT5GSrqVKJwtOsn6fTB5iZOyxdGqUWbh</v>
      </c>
      <c r="F23" s="4" t="str">
        <f>IF(SULIMA!F23="","",_xlfn.XLOOKUP(SULIMA!F23,'SULIMA ids'!$A$1:$A$21,'SULIMA ids'!$B$1:$B$21,""))</f>
        <v>1oa1DjYEEwdm9wJQW8XDZUDk4jrqlG5QB</v>
      </c>
      <c r="G23" s="4" t="str">
        <f>IF(SULIMA!G23="","",_xlfn.XLOOKUP(SULIMA!G23,'SULIMA ids'!$A$1:$A$21,'SULIMA ids'!$B$1:$B$21,""))</f>
        <v>1NT5GSrqVKJwtOsn6fTB5iZOyxdGqUWbh</v>
      </c>
      <c r="H23" s="4" t="str">
        <f>IF(SULIMA!H23="","",_xlfn.XLOOKUP(SULIMA!H23,'SULIMA ids'!$A$1:$A$21,'SULIMA ids'!$B$1:$B$21,""))</f>
        <v>1NT5GSrqVKJwtOsn6fTB5iZOyxdGqUWbh</v>
      </c>
      <c r="I23" s="4" t="str">
        <f>IF(SULIMA!I23="","",_xlfn.XLOOKUP(SULIMA!I23,'SULIMA ids'!$A$1:$A$21,'SULIMA ids'!$B$1:$B$21,""))</f>
        <v>1NT5GSrqVKJwtOsn6fTB5iZOyxdGqUWbh</v>
      </c>
      <c r="J23" s="4" t="str">
        <f>IF(SULIMA!J23="","",_xlfn.XLOOKUP(SULIMA!J23,'SULIMA ids'!$A$1:$A$21,'SULIMA ids'!$B$1:$B$21,""))</f>
        <v>1NT5GSrqVKJwtOsn6fTB5iZOyxdGqUWbh</v>
      </c>
      <c r="K23" s="4" t="str">
        <f>IF(SULIMA!K23="","",_xlfn.XLOOKUP(SULIMA!K23,'SULIMA ids'!$A$1:$A$21,'SULIMA ids'!$B$1:$B$21,""))</f>
        <v>1NT5GSrqVKJwtOsn6fTB5iZOyxdGqUWbh</v>
      </c>
      <c r="L23" s="4" t="str">
        <f>IF(SULIMA!L23="","",_xlfn.XLOOKUP(SULIMA!L23,'SULIMA ids'!$A$1:$A$21,'SULIMA ids'!$B$1:$B$21,""))</f>
        <v>1NT5GSrqVKJwtOsn6fTB5iZOyxdGqUWbh</v>
      </c>
      <c r="M23" s="4" t="str">
        <f>IF(SULIMA!M23="","",_xlfn.XLOOKUP(SULIMA!M23,'SULIMA ids'!$A$1:$A$21,'SULIMA ids'!$B$1:$B$21,""))</f>
        <v>1NT5GSrqVKJwtOsn6fTB5iZOyxdGqUWbh</v>
      </c>
      <c r="N23" s="4" t="str">
        <f>IF(SULIMA!N23="","",_xlfn.XLOOKUP(SULIMA!N23,'SULIMA ids'!$A$1:$A$21,'SULIMA ids'!$B$1:$B$21,""))</f>
        <v>1NT5GSrqVKJwtOsn6fTB5iZOyxdGqUWbh</v>
      </c>
      <c r="O23" s="4" t="str">
        <f>IF(SULIMA!O23="","",_xlfn.XLOOKUP(SULIMA!O23,'SULIMA ids'!$A$1:$A$21,'SULIMA ids'!$B$1:$B$21,""))</f>
        <v>1NT5GSrqVKJwtOsn6fTB5iZOyxdGqUWbh</v>
      </c>
      <c r="P23" s="4" t="str">
        <f>IF(SULIMA!P23="","",_xlfn.XLOOKUP(SULIMA!P23,'SULIMA ids'!$A$1:$A$21,'SULIMA ids'!$B$1:$B$21,""))</f>
        <v>1ASTrMyT8BoZ1R3JFTD4faPJqC2wAwo-Z</v>
      </c>
      <c r="Q23" s="4" t="str">
        <f>IF(SULIMA!Q23="","",_xlfn.XLOOKUP(SULIMA!Q23,'SULIMA ids'!$A$1:$A$21,'SULIMA ids'!$B$1:$B$21,""))</f>
        <v>1NT5GSrqVKJwtOsn6fTB5iZOyxdGqUWbh</v>
      </c>
      <c r="R23" s="4" t="str">
        <f>IF(SULIMA!R23="","",_xlfn.XLOOKUP(SULIMA!R23,'SULIMA ids'!$A$1:$A$21,'SULIMA ids'!$B$1:$B$21,""))</f>
        <v>1NT5GSrqVKJwtOsn6fTB5iZOyxdGqUWbh</v>
      </c>
      <c r="S23" s="4" t="str">
        <f>IF(SULIMA!S23="","",_xlfn.XLOOKUP(SULIMA!S23,'SULIMA ids'!$A$1:$A$21,'SULIMA ids'!$B$1:$B$21,""))</f>
        <v>1ASTrMyT8BoZ1R3JFTD4faPJqC2wAwo-Z</v>
      </c>
      <c r="T23" s="4" t="str">
        <f>IF(SULIMA!T23="","",_xlfn.XLOOKUP(SULIMA!T23,'SULIMA ids'!$A$1:$A$21,'SULIMA ids'!$B$1:$B$21,""))</f>
        <v>1NT5GSrqVKJwtOsn6fTB5iZOyxdGqUWbh</v>
      </c>
      <c r="U23" s="4" t="str">
        <f>IF(SULIMA!U23="","",_xlfn.XLOOKUP(SULIMA!U23,'SULIMA ids'!$A$1:$A$21,'SULIMA ids'!$B$1:$B$21,""))</f>
        <v>1D4VHUORJN08hK49qS1ZCEZ0CwV7aMR_h</v>
      </c>
      <c r="V23" s="4" t="str">
        <f>IF(SULIMA!V23="","",_xlfn.XLOOKUP(SULIMA!V23,'SULIMA ids'!$A$1:$A$21,'SULIMA ids'!$B$1:$B$21,""))</f>
        <v>1ugMOJqdYEXN530v90JNVR1Jm4CtWtFz5</v>
      </c>
      <c r="W23" s="4" t="str">
        <f>IF(SULIMA!W23="","",_xlfn.XLOOKUP(SULIMA!W23,'SULIMA ids'!$A$1:$A$21,'SULIMA ids'!$B$1:$B$21,""))</f>
        <v>1NT5GSrqVKJwtOsn6fTB5iZOyxdGqUWbh</v>
      </c>
    </row>
    <row r="25" spans="1:23" x14ac:dyDescent="0.25">
      <c r="U25" s="1"/>
      <c r="V25" s="1"/>
    </row>
  </sheetData>
  <conditionalFormatting sqref="B2:W23">
    <cfRule type="expression" dxfId="42" priority="1">
      <formula>B2&lt;&gt;INDEX($B$2:$W$23,            MATCH(B$1,$A$2:$A$23,0),            MATCH($A2,$B$1:$W$1,0))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5FE85-8648-4631-9942-20126C9F0C87}">
  <dimension ref="A1:W25"/>
  <sheetViews>
    <sheetView workbookViewId="0">
      <pane xSplit="1" ySplit="1" topLeftCell="B2" activePane="bottomRight" state="frozen"/>
      <selection activeCell="C6" sqref="C6"/>
      <selection pane="topRight" activeCell="C6" sqref="C6"/>
      <selection pane="bottomLeft" activeCell="C6" sqref="C6"/>
      <selection pane="bottomRight" activeCell="A2" sqref="A2"/>
    </sheetView>
  </sheetViews>
  <sheetFormatPr defaultColWidth="14.7109375" defaultRowHeight="15" x14ac:dyDescent="0.25"/>
  <cols>
    <col min="1" max="1" width="21.42578125" style="1" bestFit="1" customWidth="1"/>
    <col min="2" max="18" width="15.5703125" style="1" customWidth="1"/>
    <col min="19" max="20" width="14.7109375" style="1"/>
    <col min="21" max="22" width="14.7109375" style="5"/>
    <col min="23" max="16384" width="14.7109375" style="1"/>
  </cols>
  <sheetData>
    <row r="1" spans="1:23" x14ac:dyDescent="0.25">
      <c r="A1" s="2" t="s">
        <v>143</v>
      </c>
      <c r="B1" s="3" t="str">
        <f>A2</f>
        <v>All-in-the-Soup</v>
      </c>
      <c r="C1" s="3" t="str">
        <f>A3</f>
        <v>Arms-Filled-with-Bittersweet</v>
      </c>
      <c r="D1" s="3" t="str">
        <f>A4</f>
        <v>Tributaries</v>
      </c>
      <c r="E1" s="3" t="str">
        <f>A5</f>
        <v>Words-That-Dance</v>
      </c>
      <c r="F1" s="3" t="str">
        <f>A6</f>
        <v>Source</v>
      </c>
      <c r="G1" s="3" t="str">
        <f>A7</f>
        <v>Asset</v>
      </c>
      <c r="H1" s="3" t="str">
        <f>A8</f>
        <v>Copy</v>
      </c>
      <c r="I1" s="3" t="str">
        <f>A9</f>
        <v>Design</v>
      </c>
      <c r="J1" s="3" t="str">
        <f>A10</f>
        <v>Marketing</v>
      </c>
      <c r="K1" s="3" t="str">
        <f>A11</f>
        <v>Newsletter</v>
      </c>
      <c r="L1" s="3" t="str">
        <f>A12</f>
        <v>Inspo</v>
      </c>
      <c r="M1" s="3" t="str">
        <f>A13</f>
        <v>Admin</v>
      </c>
      <c r="N1" s="3" t="str">
        <f>A14</f>
        <v>Cover</v>
      </c>
      <c r="O1" s="3" t="str">
        <f>A15</f>
        <v>Info</v>
      </c>
      <c r="P1" s="3" t="str">
        <f>A16</f>
        <v>Backup</v>
      </c>
      <c r="Q1" s="3" t="str">
        <f>A17</f>
        <v>Headshot</v>
      </c>
      <c r="R1" s="3" t="str">
        <f>A18</f>
        <v>Interior</v>
      </c>
      <c r="S1" s="3" t="str">
        <f>A19</f>
        <v>OLD</v>
      </c>
      <c r="T1" s="3" t="str">
        <f>A20</f>
        <v>Video</v>
      </c>
      <c r="U1" s="3" t="str">
        <f>A21</f>
        <v>PSD</v>
      </c>
      <c r="V1" s="3" t="str">
        <f>A22</f>
        <v>Featured-image</v>
      </c>
      <c r="W1" s="3" t="str">
        <f>A23</f>
        <v>Social-image</v>
      </c>
    </row>
    <row r="2" spans="1:23" x14ac:dyDescent="0.25">
      <c r="A2" s="3" t="s">
        <v>138</v>
      </c>
      <c r="B2" s="4" t="s">
        <v>116</v>
      </c>
      <c r="C2" s="4" t="s">
        <v>74</v>
      </c>
      <c r="D2" s="4" t="s">
        <v>74</v>
      </c>
      <c r="E2" s="4" t="s">
        <v>74</v>
      </c>
      <c r="F2" s="4" t="s">
        <v>74</v>
      </c>
      <c r="G2" s="4" t="s">
        <v>74</v>
      </c>
      <c r="H2" s="4" t="s">
        <v>74</v>
      </c>
      <c r="I2" s="4" t="s">
        <v>74</v>
      </c>
      <c r="J2" s="4" t="s">
        <v>74</v>
      </c>
      <c r="K2" s="4" t="s">
        <v>74</v>
      </c>
      <c r="L2" s="4" t="s">
        <v>74</v>
      </c>
      <c r="M2" s="4" t="s">
        <v>74</v>
      </c>
      <c r="N2" s="4" t="s">
        <v>74</v>
      </c>
      <c r="O2" s="4" t="s">
        <v>74</v>
      </c>
      <c r="P2" s="4" t="s">
        <v>74</v>
      </c>
      <c r="Q2" s="4" t="s">
        <v>74</v>
      </c>
      <c r="R2" s="4" t="s">
        <v>74</v>
      </c>
      <c r="S2" s="4" t="s">
        <v>74</v>
      </c>
      <c r="T2" s="4" t="s">
        <v>74</v>
      </c>
      <c r="U2" s="4" t="s">
        <v>74</v>
      </c>
      <c r="V2" s="4" t="s">
        <v>74</v>
      </c>
      <c r="W2" s="4" t="s">
        <v>74</v>
      </c>
    </row>
    <row r="3" spans="1:23" x14ac:dyDescent="0.25">
      <c r="A3" s="3" t="s">
        <v>139</v>
      </c>
      <c r="B3" s="4" t="s">
        <v>74</v>
      </c>
      <c r="C3" s="4" t="s">
        <v>115</v>
      </c>
      <c r="D3" s="4" t="s">
        <v>74</v>
      </c>
      <c r="E3" s="4" t="s">
        <v>74</v>
      </c>
      <c r="F3" s="4" t="s">
        <v>74</v>
      </c>
      <c r="G3" s="4" t="s">
        <v>74</v>
      </c>
      <c r="H3" s="4" t="s">
        <v>74</v>
      </c>
      <c r="I3" s="4" t="s">
        <v>74</v>
      </c>
      <c r="J3" s="4" t="s">
        <v>74</v>
      </c>
      <c r="K3" s="4" t="s">
        <v>74</v>
      </c>
      <c r="L3" s="4" t="s">
        <v>74</v>
      </c>
      <c r="M3" s="4" t="s">
        <v>74</v>
      </c>
      <c r="N3" s="4" t="s">
        <v>74</v>
      </c>
      <c r="O3" s="4" t="s">
        <v>74</v>
      </c>
      <c r="P3" s="4" t="s">
        <v>74</v>
      </c>
      <c r="Q3" s="4" t="s">
        <v>74</v>
      </c>
      <c r="R3" s="4" t="s">
        <v>74</v>
      </c>
      <c r="S3" s="4" t="s">
        <v>74</v>
      </c>
      <c r="T3" s="4" t="s">
        <v>74</v>
      </c>
      <c r="U3" s="4" t="s">
        <v>74</v>
      </c>
      <c r="V3" s="4" t="s">
        <v>74</v>
      </c>
      <c r="W3" s="4" t="s">
        <v>74</v>
      </c>
    </row>
    <row r="4" spans="1:23" x14ac:dyDescent="0.25">
      <c r="A4" s="3" t="s">
        <v>140</v>
      </c>
      <c r="B4" s="4" t="s">
        <v>74</v>
      </c>
      <c r="C4" s="4" t="s">
        <v>74</v>
      </c>
      <c r="D4" s="4" t="s">
        <v>113</v>
      </c>
      <c r="E4" s="4" t="s">
        <v>74</v>
      </c>
      <c r="F4" s="4" t="s">
        <v>74</v>
      </c>
      <c r="G4" s="4" t="s">
        <v>74</v>
      </c>
      <c r="H4" s="4" t="s">
        <v>74</v>
      </c>
      <c r="I4" s="4" t="s">
        <v>74</v>
      </c>
      <c r="J4" s="4" t="s">
        <v>74</v>
      </c>
      <c r="K4" s="4" t="s">
        <v>74</v>
      </c>
      <c r="L4" s="4" t="s">
        <v>74</v>
      </c>
      <c r="M4" s="4" t="s">
        <v>74</v>
      </c>
      <c r="N4" s="4" t="s">
        <v>74</v>
      </c>
      <c r="O4" s="4" t="s">
        <v>74</v>
      </c>
      <c r="P4" s="4" t="s">
        <v>74</v>
      </c>
      <c r="Q4" s="4" t="s">
        <v>74</v>
      </c>
      <c r="R4" s="4" t="s">
        <v>74</v>
      </c>
      <c r="S4" s="4" t="s">
        <v>74</v>
      </c>
      <c r="T4" s="4" t="s">
        <v>74</v>
      </c>
      <c r="U4" s="4" t="s">
        <v>74</v>
      </c>
      <c r="V4" s="4" t="s">
        <v>74</v>
      </c>
      <c r="W4" s="4" t="s">
        <v>74</v>
      </c>
    </row>
    <row r="5" spans="1:23" x14ac:dyDescent="0.25">
      <c r="A5" s="3" t="s">
        <v>141</v>
      </c>
      <c r="B5" s="4" t="s">
        <v>74</v>
      </c>
      <c r="C5" s="4" t="s">
        <v>74</v>
      </c>
      <c r="D5" s="4" t="s">
        <v>74</v>
      </c>
      <c r="E5" s="4" t="s">
        <v>114</v>
      </c>
      <c r="F5" s="4" t="s">
        <v>74</v>
      </c>
      <c r="G5" s="4" t="s">
        <v>74</v>
      </c>
      <c r="H5" s="4" t="s">
        <v>74</v>
      </c>
      <c r="I5" s="4" t="s">
        <v>74</v>
      </c>
      <c r="J5" s="4" t="s">
        <v>74</v>
      </c>
      <c r="K5" s="4" t="s">
        <v>74</v>
      </c>
      <c r="L5" s="4" t="s">
        <v>74</v>
      </c>
      <c r="M5" s="4" t="s">
        <v>74</v>
      </c>
      <c r="N5" s="4" t="s">
        <v>74</v>
      </c>
      <c r="O5" s="4" t="s">
        <v>74</v>
      </c>
      <c r="P5" s="4" t="s">
        <v>74</v>
      </c>
      <c r="Q5" s="4" t="s">
        <v>74</v>
      </c>
      <c r="R5" s="4" t="s">
        <v>74</v>
      </c>
      <c r="S5" s="4" t="s">
        <v>74</v>
      </c>
      <c r="T5" s="4" t="s">
        <v>74</v>
      </c>
      <c r="U5" s="4" t="s">
        <v>74</v>
      </c>
      <c r="V5" s="4" t="s">
        <v>74</v>
      </c>
      <c r="W5" s="4" t="s">
        <v>74</v>
      </c>
    </row>
    <row r="6" spans="1:23" x14ac:dyDescent="0.25">
      <c r="A6" s="3" t="s">
        <v>1</v>
      </c>
      <c r="B6" s="4" t="s">
        <v>74</v>
      </c>
      <c r="C6" s="4" t="s">
        <v>74</v>
      </c>
      <c r="D6" s="4" t="s">
        <v>74</v>
      </c>
      <c r="E6" s="4" t="s">
        <v>74</v>
      </c>
      <c r="F6" s="4" t="s">
        <v>74</v>
      </c>
      <c r="G6" s="4" t="s">
        <v>74</v>
      </c>
      <c r="H6" s="4" t="s">
        <v>74</v>
      </c>
      <c r="I6" s="4" t="s">
        <v>74</v>
      </c>
      <c r="J6" s="4" t="s">
        <v>74</v>
      </c>
      <c r="K6" s="4" t="s">
        <v>74</v>
      </c>
      <c r="L6" s="4" t="s">
        <v>74</v>
      </c>
      <c r="M6" s="4" t="s">
        <v>74</v>
      </c>
      <c r="N6" s="4" t="s">
        <v>74</v>
      </c>
      <c r="O6" s="4" t="s">
        <v>74</v>
      </c>
      <c r="P6" s="4" t="s">
        <v>74</v>
      </c>
      <c r="Q6" s="4" t="s">
        <v>74</v>
      </c>
      <c r="R6" s="4" t="s">
        <v>74</v>
      </c>
      <c r="S6" s="4" t="s">
        <v>74</v>
      </c>
      <c r="T6" s="4" t="s">
        <v>74</v>
      </c>
      <c r="U6" s="4" t="s">
        <v>74</v>
      </c>
      <c r="V6" s="4" t="s">
        <v>74</v>
      </c>
      <c r="W6" s="4" t="s">
        <v>74</v>
      </c>
    </row>
    <row r="7" spans="1:23" x14ac:dyDescent="0.25">
      <c r="A7" s="3" t="s">
        <v>2</v>
      </c>
      <c r="B7" s="4" t="s">
        <v>74</v>
      </c>
      <c r="C7" s="4" t="s">
        <v>74</v>
      </c>
      <c r="D7" s="4" t="s">
        <v>74</v>
      </c>
      <c r="E7" s="4" t="s">
        <v>74</v>
      </c>
      <c r="F7" s="4" t="s">
        <v>74</v>
      </c>
      <c r="G7" s="4" t="s">
        <v>74</v>
      </c>
      <c r="H7" s="4" t="s">
        <v>74</v>
      </c>
      <c r="I7" s="4" t="s">
        <v>74</v>
      </c>
      <c r="J7" s="4" t="s">
        <v>74</v>
      </c>
      <c r="K7" s="4" t="s">
        <v>74</v>
      </c>
      <c r="L7" s="4" t="s">
        <v>74</v>
      </c>
      <c r="M7" s="4" t="s">
        <v>74</v>
      </c>
      <c r="N7" s="4" t="s">
        <v>74</v>
      </c>
      <c r="O7" s="4" t="s">
        <v>74</v>
      </c>
      <c r="P7" s="4" t="s">
        <v>74</v>
      </c>
      <c r="Q7" s="4" t="s">
        <v>74</v>
      </c>
      <c r="R7" s="4" t="s">
        <v>74</v>
      </c>
      <c r="S7" s="4" t="s">
        <v>74</v>
      </c>
      <c r="T7" s="4" t="s">
        <v>74</v>
      </c>
      <c r="U7" s="4" t="s">
        <v>74</v>
      </c>
      <c r="V7" s="4" t="s">
        <v>74</v>
      </c>
      <c r="W7" s="4" t="s">
        <v>74</v>
      </c>
    </row>
    <row r="8" spans="1:23" x14ac:dyDescent="0.25">
      <c r="A8" s="3" t="s">
        <v>3</v>
      </c>
      <c r="B8" s="4" t="s">
        <v>74</v>
      </c>
      <c r="C8" s="4" t="s">
        <v>74</v>
      </c>
      <c r="D8" s="4" t="s">
        <v>74</v>
      </c>
      <c r="E8" s="4" t="s">
        <v>74</v>
      </c>
      <c r="F8" s="4" t="s">
        <v>74</v>
      </c>
      <c r="G8" s="4" t="s">
        <v>74</v>
      </c>
      <c r="H8" s="4" t="s">
        <v>74</v>
      </c>
      <c r="I8" s="4" t="s">
        <v>74</v>
      </c>
      <c r="J8" s="4" t="s">
        <v>74</v>
      </c>
      <c r="K8" s="4" t="s">
        <v>74</v>
      </c>
      <c r="L8" s="4" t="s">
        <v>74</v>
      </c>
      <c r="M8" s="4" t="s">
        <v>74</v>
      </c>
      <c r="N8" s="4" t="s">
        <v>74</v>
      </c>
      <c r="O8" s="4" t="s">
        <v>74</v>
      </c>
      <c r="P8" s="4" t="s">
        <v>74</v>
      </c>
      <c r="Q8" s="4" t="s">
        <v>74</v>
      </c>
      <c r="R8" s="4" t="s">
        <v>74</v>
      </c>
      <c r="S8" s="4" t="s">
        <v>74</v>
      </c>
      <c r="T8" s="4" t="s">
        <v>74</v>
      </c>
      <c r="U8" s="4" t="s">
        <v>74</v>
      </c>
      <c r="V8" s="4" t="s">
        <v>74</v>
      </c>
      <c r="W8" s="4" t="s">
        <v>74</v>
      </c>
    </row>
    <row r="9" spans="1:23" x14ac:dyDescent="0.25">
      <c r="A9" s="3" t="s">
        <v>4</v>
      </c>
      <c r="B9" s="4" t="s">
        <v>74</v>
      </c>
      <c r="C9" s="4" t="s">
        <v>74</v>
      </c>
      <c r="D9" s="4" t="s">
        <v>74</v>
      </c>
      <c r="E9" s="4" t="s">
        <v>74</v>
      </c>
      <c r="F9" s="4" t="s">
        <v>74</v>
      </c>
      <c r="G9" s="4" t="s">
        <v>74</v>
      </c>
      <c r="H9" s="4" t="s">
        <v>74</v>
      </c>
      <c r="I9" s="4" t="s">
        <v>74</v>
      </c>
      <c r="J9" s="4" t="s">
        <v>74</v>
      </c>
      <c r="K9" s="4" t="s">
        <v>74</v>
      </c>
      <c r="L9" s="4" t="s">
        <v>74</v>
      </c>
      <c r="M9" s="4" t="s">
        <v>74</v>
      </c>
      <c r="N9" s="4" t="s">
        <v>74</v>
      </c>
      <c r="O9" s="4" t="s">
        <v>74</v>
      </c>
      <c r="P9" s="4" t="s">
        <v>74</v>
      </c>
      <c r="Q9" s="4" t="s">
        <v>74</v>
      </c>
      <c r="R9" s="4" t="s">
        <v>74</v>
      </c>
      <c r="S9" s="4" t="s">
        <v>74</v>
      </c>
      <c r="T9" s="4" t="s">
        <v>74</v>
      </c>
      <c r="U9" s="4" t="s">
        <v>74</v>
      </c>
      <c r="V9" s="4" t="s">
        <v>74</v>
      </c>
      <c r="W9" s="4" t="s">
        <v>74</v>
      </c>
    </row>
    <row r="10" spans="1:23" x14ac:dyDescent="0.25">
      <c r="A10" s="3" t="s">
        <v>5</v>
      </c>
      <c r="B10" s="4" t="s">
        <v>74</v>
      </c>
      <c r="C10" s="4" t="s">
        <v>74</v>
      </c>
      <c r="D10" s="4" t="s">
        <v>74</v>
      </c>
      <c r="E10" s="4" t="s">
        <v>74</v>
      </c>
      <c r="F10" s="4" t="s">
        <v>74</v>
      </c>
      <c r="G10" s="4" t="s">
        <v>74</v>
      </c>
      <c r="H10" s="4" t="s">
        <v>74</v>
      </c>
      <c r="I10" s="4" t="s">
        <v>74</v>
      </c>
      <c r="J10" s="4" t="s">
        <v>74</v>
      </c>
      <c r="K10" s="4" t="s">
        <v>74</v>
      </c>
      <c r="L10" s="4" t="s">
        <v>74</v>
      </c>
      <c r="M10" s="4" t="s">
        <v>74</v>
      </c>
      <c r="N10" s="4" t="s">
        <v>74</v>
      </c>
      <c r="O10" s="4" t="s">
        <v>74</v>
      </c>
      <c r="P10" s="4" t="s">
        <v>74</v>
      </c>
      <c r="Q10" s="4" t="s">
        <v>74</v>
      </c>
      <c r="R10" s="4" t="s">
        <v>74</v>
      </c>
      <c r="S10" s="4" t="s">
        <v>74</v>
      </c>
      <c r="T10" s="4" t="s">
        <v>74</v>
      </c>
      <c r="U10" s="4" t="s">
        <v>74</v>
      </c>
      <c r="V10" s="4" t="s">
        <v>74</v>
      </c>
      <c r="W10" s="4" t="s">
        <v>74</v>
      </c>
    </row>
    <row r="11" spans="1:23" x14ac:dyDescent="0.25">
      <c r="A11" s="3" t="s">
        <v>6</v>
      </c>
      <c r="B11" s="4" t="s">
        <v>74</v>
      </c>
      <c r="C11" s="4" t="s">
        <v>74</v>
      </c>
      <c r="D11" s="4" t="s">
        <v>74</v>
      </c>
      <c r="E11" s="4" t="s">
        <v>74</v>
      </c>
      <c r="F11" s="4" t="s">
        <v>74</v>
      </c>
      <c r="G11" s="4" t="s">
        <v>74</v>
      </c>
      <c r="H11" s="4" t="s">
        <v>74</v>
      </c>
      <c r="I11" s="4" t="s">
        <v>74</v>
      </c>
      <c r="J11" s="4" t="s">
        <v>74</v>
      </c>
      <c r="K11" s="4" t="s">
        <v>74</v>
      </c>
      <c r="L11" s="4" t="s">
        <v>74</v>
      </c>
      <c r="M11" s="4" t="s">
        <v>74</v>
      </c>
      <c r="N11" s="4" t="s">
        <v>74</v>
      </c>
      <c r="O11" s="4" t="s">
        <v>74</v>
      </c>
      <c r="P11" s="4" t="s">
        <v>74</v>
      </c>
      <c r="Q11" s="4" t="s">
        <v>74</v>
      </c>
      <c r="R11" s="4" t="s">
        <v>74</v>
      </c>
      <c r="S11" s="4" t="s">
        <v>74</v>
      </c>
      <c r="T11" s="4" t="s">
        <v>74</v>
      </c>
      <c r="U11" s="4" t="s">
        <v>74</v>
      </c>
      <c r="V11" s="4" t="s">
        <v>74</v>
      </c>
      <c r="W11" s="4" t="s">
        <v>74</v>
      </c>
    </row>
    <row r="12" spans="1:23" x14ac:dyDescent="0.25">
      <c r="A12" s="3" t="s">
        <v>7</v>
      </c>
      <c r="B12" s="4" t="s">
        <v>74</v>
      </c>
      <c r="C12" s="4" t="s">
        <v>74</v>
      </c>
      <c r="D12" s="4" t="s">
        <v>74</v>
      </c>
      <c r="E12" s="4" t="s">
        <v>74</v>
      </c>
      <c r="F12" s="4" t="s">
        <v>74</v>
      </c>
      <c r="G12" s="4" t="s">
        <v>74</v>
      </c>
      <c r="H12" s="4" t="s">
        <v>74</v>
      </c>
      <c r="I12" s="4" t="s">
        <v>74</v>
      </c>
      <c r="J12" s="4" t="s">
        <v>74</v>
      </c>
      <c r="K12" s="4" t="s">
        <v>74</v>
      </c>
      <c r="L12" s="4" t="s">
        <v>74</v>
      </c>
      <c r="M12" s="4" t="s">
        <v>74</v>
      </c>
      <c r="N12" s="4" t="s">
        <v>74</v>
      </c>
      <c r="O12" s="4" t="s">
        <v>74</v>
      </c>
      <c r="P12" s="4" t="s">
        <v>74</v>
      </c>
      <c r="Q12" s="4" t="s">
        <v>74</v>
      </c>
      <c r="R12" s="4" t="s">
        <v>74</v>
      </c>
      <c r="S12" s="4" t="s">
        <v>74</v>
      </c>
      <c r="T12" s="4" t="s">
        <v>74</v>
      </c>
      <c r="U12" s="4" t="s">
        <v>74</v>
      </c>
      <c r="V12" s="4" t="s">
        <v>74</v>
      </c>
      <c r="W12" s="4" t="s">
        <v>74</v>
      </c>
    </row>
    <row r="13" spans="1:23" x14ac:dyDescent="0.25">
      <c r="A13" s="3" t="s">
        <v>8</v>
      </c>
      <c r="B13" s="4" t="s">
        <v>74</v>
      </c>
      <c r="C13" s="4" t="s">
        <v>74</v>
      </c>
      <c r="D13" s="4" t="s">
        <v>74</v>
      </c>
      <c r="E13" s="4" t="s">
        <v>74</v>
      </c>
      <c r="F13" s="4" t="s">
        <v>74</v>
      </c>
      <c r="G13" s="4" t="s">
        <v>74</v>
      </c>
      <c r="H13" s="4" t="s">
        <v>74</v>
      </c>
      <c r="I13" s="4" t="s">
        <v>74</v>
      </c>
      <c r="J13" s="4" t="s">
        <v>74</v>
      </c>
      <c r="K13" s="4" t="s">
        <v>74</v>
      </c>
      <c r="L13" s="4" t="s">
        <v>74</v>
      </c>
      <c r="M13" s="4" t="s">
        <v>74</v>
      </c>
      <c r="N13" s="4" t="s">
        <v>74</v>
      </c>
      <c r="O13" s="4" t="s">
        <v>74</v>
      </c>
      <c r="P13" s="4" t="s">
        <v>74</v>
      </c>
      <c r="Q13" s="4" t="s">
        <v>74</v>
      </c>
      <c r="R13" s="4" t="s">
        <v>74</v>
      </c>
      <c r="S13" s="4" t="s">
        <v>74</v>
      </c>
      <c r="T13" s="4" t="s">
        <v>74</v>
      </c>
      <c r="U13" s="4" t="s">
        <v>74</v>
      </c>
      <c r="V13" s="4" t="s">
        <v>74</v>
      </c>
      <c r="W13" s="4" t="s">
        <v>74</v>
      </c>
    </row>
    <row r="14" spans="1:23" x14ac:dyDescent="0.25">
      <c r="A14" s="3" t="s">
        <v>9</v>
      </c>
      <c r="B14" s="4" t="s">
        <v>74</v>
      </c>
      <c r="C14" s="4" t="s">
        <v>74</v>
      </c>
      <c r="D14" s="4" t="s">
        <v>74</v>
      </c>
      <c r="E14" s="4" t="s">
        <v>74</v>
      </c>
      <c r="F14" s="4" t="s">
        <v>74</v>
      </c>
      <c r="G14" s="4" t="s">
        <v>74</v>
      </c>
      <c r="H14" s="4" t="s">
        <v>74</v>
      </c>
      <c r="I14" s="4" t="s">
        <v>74</v>
      </c>
      <c r="J14" s="4" t="s">
        <v>74</v>
      </c>
      <c r="K14" s="4" t="s">
        <v>74</v>
      </c>
      <c r="L14" s="4" t="s">
        <v>74</v>
      </c>
      <c r="M14" s="4" t="s">
        <v>74</v>
      </c>
      <c r="N14" s="4" t="s">
        <v>74</v>
      </c>
      <c r="O14" s="4" t="s">
        <v>74</v>
      </c>
      <c r="P14" s="4" t="s">
        <v>74</v>
      </c>
      <c r="Q14" s="4" t="s">
        <v>74</v>
      </c>
      <c r="R14" s="4" t="s">
        <v>74</v>
      </c>
      <c r="S14" s="4" t="s">
        <v>74</v>
      </c>
      <c r="T14" s="4" t="s">
        <v>74</v>
      </c>
      <c r="U14" s="4" t="s">
        <v>74</v>
      </c>
      <c r="V14" s="4" t="s">
        <v>74</v>
      </c>
      <c r="W14" s="4" t="s">
        <v>74</v>
      </c>
    </row>
    <row r="15" spans="1:23" x14ac:dyDescent="0.25">
      <c r="A15" s="3" t="s">
        <v>10</v>
      </c>
      <c r="B15" s="4" t="s">
        <v>74</v>
      </c>
      <c r="C15" s="4" t="s">
        <v>74</v>
      </c>
      <c r="D15" s="4" t="s">
        <v>74</v>
      </c>
      <c r="E15" s="4" t="s">
        <v>74</v>
      </c>
      <c r="F15" s="4" t="s">
        <v>74</v>
      </c>
      <c r="G15" s="4" t="s">
        <v>74</v>
      </c>
      <c r="H15" s="4" t="s">
        <v>74</v>
      </c>
      <c r="I15" s="4" t="s">
        <v>74</v>
      </c>
      <c r="J15" s="4" t="s">
        <v>74</v>
      </c>
      <c r="K15" s="4" t="s">
        <v>74</v>
      </c>
      <c r="L15" s="4" t="s">
        <v>74</v>
      </c>
      <c r="M15" s="4" t="s">
        <v>74</v>
      </c>
      <c r="N15" s="4" t="s">
        <v>74</v>
      </c>
      <c r="O15" s="4" t="s">
        <v>74</v>
      </c>
      <c r="P15" s="4" t="s">
        <v>74</v>
      </c>
      <c r="Q15" s="4" t="s">
        <v>74</v>
      </c>
      <c r="R15" s="4" t="s">
        <v>74</v>
      </c>
      <c r="S15" s="4" t="s">
        <v>74</v>
      </c>
      <c r="T15" s="4" t="s">
        <v>74</v>
      </c>
      <c r="U15" s="4" t="s">
        <v>74</v>
      </c>
      <c r="V15" s="4" t="s">
        <v>74</v>
      </c>
      <c r="W15" s="4" t="s">
        <v>74</v>
      </c>
    </row>
    <row r="16" spans="1:23" x14ac:dyDescent="0.25">
      <c r="A16" s="3" t="s">
        <v>11</v>
      </c>
      <c r="B16" s="4" t="s">
        <v>74</v>
      </c>
      <c r="C16" s="4" t="s">
        <v>74</v>
      </c>
      <c r="D16" s="4" t="s">
        <v>74</v>
      </c>
      <c r="E16" s="4" t="s">
        <v>74</v>
      </c>
      <c r="F16" s="4" t="s">
        <v>74</v>
      </c>
      <c r="G16" s="4" t="s">
        <v>74</v>
      </c>
      <c r="H16" s="4" t="s">
        <v>74</v>
      </c>
      <c r="I16" s="4" t="s">
        <v>74</v>
      </c>
      <c r="J16" s="4" t="s">
        <v>74</v>
      </c>
      <c r="K16" s="4" t="s">
        <v>74</v>
      </c>
      <c r="L16" s="4" t="s">
        <v>74</v>
      </c>
      <c r="M16" s="4" t="s">
        <v>74</v>
      </c>
      <c r="N16" s="4" t="s">
        <v>74</v>
      </c>
      <c r="O16" s="4" t="s">
        <v>74</v>
      </c>
      <c r="P16" s="4" t="s">
        <v>74</v>
      </c>
      <c r="Q16" s="4" t="s">
        <v>74</v>
      </c>
      <c r="R16" s="4" t="s">
        <v>74</v>
      </c>
      <c r="S16" s="4" t="s">
        <v>74</v>
      </c>
      <c r="T16" s="4" t="s">
        <v>74</v>
      </c>
      <c r="U16" s="4" t="s">
        <v>74</v>
      </c>
      <c r="V16" s="4" t="s">
        <v>74</v>
      </c>
      <c r="W16" s="4" t="s">
        <v>74</v>
      </c>
    </row>
    <row r="17" spans="1:23" x14ac:dyDescent="0.25">
      <c r="A17" s="3" t="s">
        <v>12</v>
      </c>
      <c r="B17" s="4" t="s">
        <v>74</v>
      </c>
      <c r="C17" s="4" t="s">
        <v>74</v>
      </c>
      <c r="D17" s="4" t="s">
        <v>74</v>
      </c>
      <c r="E17" s="4" t="s">
        <v>74</v>
      </c>
      <c r="F17" s="4" t="s">
        <v>74</v>
      </c>
      <c r="G17" s="4" t="s">
        <v>74</v>
      </c>
      <c r="H17" s="4" t="s">
        <v>74</v>
      </c>
      <c r="I17" s="4" t="s">
        <v>74</v>
      </c>
      <c r="J17" s="4" t="s">
        <v>74</v>
      </c>
      <c r="K17" s="4" t="s">
        <v>74</v>
      </c>
      <c r="L17" s="4" t="s">
        <v>74</v>
      </c>
      <c r="M17" s="4" t="s">
        <v>74</v>
      </c>
      <c r="N17" s="4" t="s">
        <v>74</v>
      </c>
      <c r="O17" s="4" t="s">
        <v>74</v>
      </c>
      <c r="P17" s="4" t="s">
        <v>74</v>
      </c>
      <c r="Q17" s="4" t="s">
        <v>74</v>
      </c>
      <c r="R17" s="4" t="s">
        <v>74</v>
      </c>
      <c r="S17" s="4" t="s">
        <v>74</v>
      </c>
      <c r="T17" s="4" t="s">
        <v>74</v>
      </c>
      <c r="U17" s="4" t="s">
        <v>74</v>
      </c>
      <c r="V17" s="4" t="s">
        <v>74</v>
      </c>
      <c r="W17" s="4" t="s">
        <v>74</v>
      </c>
    </row>
    <row r="18" spans="1:23" x14ac:dyDescent="0.25">
      <c r="A18" s="3" t="s">
        <v>13</v>
      </c>
      <c r="B18" s="4" t="s">
        <v>74</v>
      </c>
      <c r="C18" s="4" t="s">
        <v>74</v>
      </c>
      <c r="D18" s="4" t="s">
        <v>74</v>
      </c>
      <c r="E18" s="4" t="s">
        <v>74</v>
      </c>
      <c r="F18" s="4" t="s">
        <v>74</v>
      </c>
      <c r="G18" s="4" t="s">
        <v>74</v>
      </c>
      <c r="H18" s="4" t="s">
        <v>74</v>
      </c>
      <c r="I18" s="4" t="s">
        <v>74</v>
      </c>
      <c r="J18" s="4" t="s">
        <v>74</v>
      </c>
      <c r="K18" s="4" t="s">
        <v>74</v>
      </c>
      <c r="L18" s="4" t="s">
        <v>74</v>
      </c>
      <c r="M18" s="4" t="s">
        <v>74</v>
      </c>
      <c r="N18" s="4" t="s">
        <v>74</v>
      </c>
      <c r="O18" s="4" t="s">
        <v>74</v>
      </c>
      <c r="P18" s="4" t="s">
        <v>74</v>
      </c>
      <c r="Q18" s="4" t="s">
        <v>74</v>
      </c>
      <c r="R18" s="4" t="s">
        <v>74</v>
      </c>
      <c r="S18" s="4" t="s">
        <v>74</v>
      </c>
      <c r="T18" s="4" t="s">
        <v>74</v>
      </c>
      <c r="U18" s="4" t="s">
        <v>74</v>
      </c>
      <c r="V18" s="4" t="s">
        <v>74</v>
      </c>
      <c r="W18" s="4" t="s">
        <v>74</v>
      </c>
    </row>
    <row r="19" spans="1:23" x14ac:dyDescent="0.25">
      <c r="A19" s="3" t="s">
        <v>31</v>
      </c>
      <c r="B19" s="4" t="s">
        <v>74</v>
      </c>
      <c r="C19" s="4" t="s">
        <v>74</v>
      </c>
      <c r="D19" s="4" t="s">
        <v>74</v>
      </c>
      <c r="E19" s="4" t="s">
        <v>74</v>
      </c>
      <c r="F19" s="4" t="s">
        <v>74</v>
      </c>
      <c r="G19" s="4" t="s">
        <v>74</v>
      </c>
      <c r="H19" s="4" t="s">
        <v>74</v>
      </c>
      <c r="I19" s="4" t="s">
        <v>74</v>
      </c>
      <c r="J19" s="4" t="s">
        <v>74</v>
      </c>
      <c r="K19" s="4" t="s">
        <v>74</v>
      </c>
      <c r="L19" s="4" t="s">
        <v>74</v>
      </c>
      <c r="M19" s="4" t="s">
        <v>74</v>
      </c>
      <c r="N19" s="4" t="s">
        <v>74</v>
      </c>
      <c r="O19" s="4" t="s">
        <v>74</v>
      </c>
      <c r="P19" s="4" t="s">
        <v>74</v>
      </c>
      <c r="Q19" s="4" t="s">
        <v>74</v>
      </c>
      <c r="R19" s="4" t="s">
        <v>74</v>
      </c>
      <c r="S19" s="4" t="s">
        <v>74</v>
      </c>
      <c r="T19" s="4" t="s">
        <v>74</v>
      </c>
      <c r="U19" s="4" t="s">
        <v>74</v>
      </c>
      <c r="V19" s="4" t="s">
        <v>74</v>
      </c>
      <c r="W19" s="4" t="s">
        <v>74</v>
      </c>
    </row>
    <row r="20" spans="1:23" x14ac:dyDescent="0.25">
      <c r="A20" s="3" t="s">
        <v>34</v>
      </c>
      <c r="B20" s="4" t="s">
        <v>74</v>
      </c>
      <c r="C20" s="4" t="s">
        <v>74</v>
      </c>
      <c r="D20" s="4" t="s">
        <v>74</v>
      </c>
      <c r="E20" s="4" t="s">
        <v>74</v>
      </c>
      <c r="F20" s="4" t="s">
        <v>74</v>
      </c>
      <c r="G20" s="4" t="s">
        <v>74</v>
      </c>
      <c r="H20" s="4" t="s">
        <v>74</v>
      </c>
      <c r="I20" s="4" t="s">
        <v>74</v>
      </c>
      <c r="J20" s="4" t="s">
        <v>74</v>
      </c>
      <c r="K20" s="4" t="s">
        <v>74</v>
      </c>
      <c r="L20" s="4" t="s">
        <v>74</v>
      </c>
      <c r="M20" s="4" t="s">
        <v>74</v>
      </c>
      <c r="N20" s="4" t="s">
        <v>74</v>
      </c>
      <c r="O20" s="4" t="s">
        <v>74</v>
      </c>
      <c r="P20" s="4" t="s">
        <v>74</v>
      </c>
      <c r="Q20" s="4" t="s">
        <v>74</v>
      </c>
      <c r="R20" s="4" t="s">
        <v>74</v>
      </c>
      <c r="S20" s="4" t="s">
        <v>74</v>
      </c>
      <c r="T20" s="4" t="s">
        <v>74</v>
      </c>
      <c r="U20" s="4" t="s">
        <v>74</v>
      </c>
      <c r="V20" s="4" t="s">
        <v>74</v>
      </c>
      <c r="W20" s="4" t="s">
        <v>74</v>
      </c>
    </row>
    <row r="21" spans="1:23" x14ac:dyDescent="0.25">
      <c r="A21" s="3" t="s">
        <v>36</v>
      </c>
      <c r="B21" s="4" t="s">
        <v>74</v>
      </c>
      <c r="C21" s="4" t="s">
        <v>74</v>
      </c>
      <c r="D21" s="4" t="s">
        <v>74</v>
      </c>
      <c r="E21" s="4" t="s">
        <v>74</v>
      </c>
      <c r="F21" s="4" t="s">
        <v>74</v>
      </c>
      <c r="G21" s="4" t="s">
        <v>74</v>
      </c>
      <c r="H21" s="4" t="s">
        <v>74</v>
      </c>
      <c r="I21" s="4" t="s">
        <v>74</v>
      </c>
      <c r="J21" s="4" t="s">
        <v>74</v>
      </c>
      <c r="K21" s="4" t="s">
        <v>74</v>
      </c>
      <c r="L21" s="4" t="s">
        <v>74</v>
      </c>
      <c r="M21" s="4" t="s">
        <v>74</v>
      </c>
      <c r="N21" s="4" t="s">
        <v>74</v>
      </c>
      <c r="O21" s="4" t="s">
        <v>74</v>
      </c>
      <c r="P21" s="4" t="s">
        <v>74</v>
      </c>
      <c r="Q21" s="4" t="s">
        <v>74</v>
      </c>
      <c r="R21" s="4" t="s">
        <v>74</v>
      </c>
      <c r="S21" s="4" t="s">
        <v>74</v>
      </c>
      <c r="T21" s="4" t="s">
        <v>74</v>
      </c>
      <c r="U21" s="4" t="s">
        <v>74</v>
      </c>
      <c r="V21" s="4" t="s">
        <v>74</v>
      </c>
      <c r="W21" s="4" t="s">
        <v>74</v>
      </c>
    </row>
    <row r="22" spans="1:23" x14ac:dyDescent="0.25">
      <c r="A22" s="3" t="s">
        <v>40</v>
      </c>
      <c r="B22" s="4" t="s">
        <v>74</v>
      </c>
      <c r="C22" s="4" t="s">
        <v>74</v>
      </c>
      <c r="D22" s="4" t="s">
        <v>74</v>
      </c>
      <c r="E22" s="4" t="s">
        <v>74</v>
      </c>
      <c r="F22" s="4" t="s">
        <v>74</v>
      </c>
      <c r="G22" s="4" t="s">
        <v>74</v>
      </c>
      <c r="H22" s="4" t="s">
        <v>74</v>
      </c>
      <c r="I22" s="4" t="s">
        <v>74</v>
      </c>
      <c r="J22" s="4" t="s">
        <v>74</v>
      </c>
      <c r="K22" s="4" t="s">
        <v>74</v>
      </c>
      <c r="L22" s="4" t="s">
        <v>74</v>
      </c>
      <c r="M22" s="4" t="s">
        <v>74</v>
      </c>
      <c r="N22" s="4" t="s">
        <v>74</v>
      </c>
      <c r="O22" s="4" t="s">
        <v>74</v>
      </c>
      <c r="P22" s="4" t="s">
        <v>74</v>
      </c>
      <c r="Q22" s="4" t="s">
        <v>74</v>
      </c>
      <c r="R22" s="4" t="s">
        <v>74</v>
      </c>
      <c r="S22" s="4" t="s">
        <v>74</v>
      </c>
      <c r="T22" s="4" t="s">
        <v>74</v>
      </c>
      <c r="U22" s="4" t="s">
        <v>74</v>
      </c>
      <c r="V22" s="4" t="s">
        <v>74</v>
      </c>
      <c r="W22" s="4" t="s">
        <v>74</v>
      </c>
    </row>
    <row r="23" spans="1:23" x14ac:dyDescent="0.25">
      <c r="A23" s="3" t="s">
        <v>41</v>
      </c>
      <c r="B23" s="4" t="s">
        <v>74</v>
      </c>
      <c r="C23" s="4" t="s">
        <v>74</v>
      </c>
      <c r="D23" s="4" t="s">
        <v>74</v>
      </c>
      <c r="E23" s="4" t="s">
        <v>74</v>
      </c>
      <c r="F23" s="4" t="s">
        <v>74</v>
      </c>
      <c r="G23" s="4" t="s">
        <v>74</v>
      </c>
      <c r="H23" s="4" t="s">
        <v>74</v>
      </c>
      <c r="I23" s="4" t="s">
        <v>74</v>
      </c>
      <c r="J23" s="4" t="s">
        <v>74</v>
      </c>
      <c r="K23" s="4" t="s">
        <v>74</v>
      </c>
      <c r="L23" s="4" t="s">
        <v>74</v>
      </c>
      <c r="M23" s="4" t="s">
        <v>74</v>
      </c>
      <c r="N23" s="4" t="s">
        <v>74</v>
      </c>
      <c r="O23" s="4" t="s">
        <v>74</v>
      </c>
      <c r="P23" s="4" t="s">
        <v>74</v>
      </c>
      <c r="Q23" s="4" t="s">
        <v>74</v>
      </c>
      <c r="R23" s="4" t="s">
        <v>74</v>
      </c>
      <c r="S23" s="4" t="s">
        <v>74</v>
      </c>
      <c r="T23" s="4" t="s">
        <v>74</v>
      </c>
      <c r="U23" s="4" t="s">
        <v>74</v>
      </c>
      <c r="V23" s="4" t="s">
        <v>74</v>
      </c>
      <c r="W23" s="4" t="s">
        <v>74</v>
      </c>
    </row>
    <row r="25" spans="1:23" x14ac:dyDescent="0.25">
      <c r="U25" s="1"/>
      <c r="V25" s="1"/>
    </row>
  </sheetData>
  <conditionalFormatting sqref="B2:D23">
    <cfRule type="cellIs" dxfId="41" priority="1" operator="equal">
      <formula>"Unsorted"</formula>
    </cfRule>
    <cfRule type="expression" dxfId="40" priority="2">
      <formula>B2&lt;&gt;INDEX($B$2:$W$23,            MATCH(B$1,$A$2:$A$23,0),            MATCH($A2,$B$1:$W$1,0))</formula>
    </cfRule>
  </conditionalFormatting>
  <conditionalFormatting sqref="E2:V23">
    <cfRule type="cellIs" dxfId="39" priority="3" operator="equal">
      <formula>"Unsorted"</formula>
    </cfRule>
    <cfRule type="expression" dxfId="38" priority="4">
      <formula>E2&lt;&gt;INDEX($B$2:$W$23,            MATCH(F$1,$A$2:$A$23,0),            MATCH($A2,$B$1:$W$1,0))</formula>
    </cfRule>
  </conditionalFormatting>
  <conditionalFormatting sqref="W2:W23">
    <cfRule type="cellIs" dxfId="37" priority="5" operator="equal">
      <formula>"Unsorted"</formula>
    </cfRule>
    <cfRule type="expression" dxfId="36" priority="6">
      <formula>W2&lt;&gt;INDEX($B$2:$W$23,            MATCH(#REF!,$A$2:$A$23,0),            MATCH($A2,$B$1:$W$1,0))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C31387A-702B-4F50-8EE1-DF82C8469E3D}">
          <x14:formula1>
            <xm:f>'SULIMA ids'!$A$1:$A$21</xm:f>
          </x14:formula1>
          <xm:sqref>B2:W23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MAYA</vt:lpstr>
      <vt:lpstr>MAYA ids</vt:lpstr>
      <vt:lpstr>LYNN</vt:lpstr>
      <vt:lpstr>LYNN ids</vt:lpstr>
      <vt:lpstr>LYNN final</vt:lpstr>
      <vt:lpstr>SULIMA</vt:lpstr>
      <vt:lpstr>SULIMA ids</vt:lpstr>
      <vt:lpstr>SULIMA final</vt:lpstr>
      <vt:lpstr>LINGUA 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Bairey</dc:creator>
  <cp:lastModifiedBy>Maya Bairey</cp:lastModifiedBy>
  <dcterms:created xsi:type="dcterms:W3CDTF">2025-12-07T20:22:17Z</dcterms:created>
  <dcterms:modified xsi:type="dcterms:W3CDTF">2025-12-30T19:34:03Z</dcterms:modified>
</cp:coreProperties>
</file>